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_x fitted" sheetId="1" state="visible" r:id="rId1"/>
    <sheet xmlns:r="http://schemas.openxmlformats.org/officeDocument/2006/relationships" name="f_x by condition" sheetId="2" state="visible" r:id="rId2"/>
    <sheet xmlns:r="http://schemas.openxmlformats.org/officeDocument/2006/relationships" name="size necessity v8_20mM" sheetId="3" state="visible" r:id="rId3"/>
    <sheet xmlns:r="http://schemas.openxmlformats.org/officeDocument/2006/relationships" name="f_x vs IS 1.1um_4md" sheetId="4" state="visible" r:id="rId4"/>
    <sheet xmlns:r="http://schemas.openxmlformats.org/officeDocument/2006/relationships" name="f_x vs Usec (DLVO)" sheetId="5" state="visible" r:id="rId5"/>
    <sheet xmlns:r="http://schemas.openxmlformats.org/officeDocument/2006/relationships" name="f_x(Usec) clos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8" customWidth="1" min="4" max="4"/>
    <col width="8" customWidth="1" min="5" max="5"/>
    <col width="7" customWidth="1" min="6" max="6"/>
    <col width="10" customWidth="1" min="7" max="7"/>
    <col width="11" customWidth="1" min="8" max="8"/>
    <col width="9" customWidth="1" min="9" max="9"/>
    <col width="11" customWidth="1" min="10" max="10"/>
    <col width="14" customWidth="1" min="11" max="11"/>
    <col width="44" customWidth="1" min="12" max="12"/>
  </cols>
  <sheetData>
    <row r="1">
      <c r="A1" s="1" t="inlineStr">
        <is>
          <t>Fitted focus/recruitment fraction f_x -- CURRENT fits (r_s pinned; a_s/a_m/f_x/k_r free; mean-log plateau; branch-aware RP window; -6 floor; IS&gt;1 mM)</t>
        </is>
      </c>
    </row>
    <row r="2">
      <c r="A2" s="2" t="inlineStr">
        <is>
          <t>Every unfavorable column, fitted live -- the SAME free fits kr_trend.py runs, so f_x and k_r come from one common set. |U_sec| is blank where no zeta exists: quartz at 3 mM and quartz at 50 mM (Johnson 2018 Table SI-1 covers colloid/collector at 6/20/50 mM but quartz collector at 6/20 mM only).</t>
        </is>
      </c>
    </row>
    <row r="3">
      <c r="A3" s="1" t="inlineStr">
        <is>
          <t>study</t>
        </is>
      </c>
      <c r="B3" s="1" t="inlineStr">
        <is>
          <t>medium</t>
        </is>
      </c>
      <c r="C3" s="1" t="inlineStr">
        <is>
          <t>col</t>
        </is>
      </c>
      <c r="D3" s="1" t="inlineStr">
        <is>
          <t>size_um</t>
        </is>
      </c>
      <c r="E3" s="1" t="inlineStr">
        <is>
          <t>v_mday</t>
        </is>
      </c>
      <c r="F3" s="1" t="inlineStr">
        <is>
          <t>IS_mM</t>
        </is>
      </c>
      <c r="G3" s="1" t="inlineStr">
        <is>
          <t>f_x</t>
        </is>
      </c>
      <c r="H3" s="1" t="inlineStr">
        <is>
          <t>k_r /s</t>
        </is>
      </c>
      <c r="I3" s="1" t="inlineStr">
        <is>
          <t>cost</t>
        </is>
      </c>
      <c r="J3" s="1" t="inlineStr">
        <is>
          <t>|U_sec|_kT</t>
        </is>
      </c>
      <c r="K3" s="1" t="inlineStr">
        <is>
          <t>RP window</t>
        </is>
      </c>
      <c r="L3" s="1" t="inlineStr">
        <is>
          <t>usable for closure?</t>
        </is>
      </c>
    </row>
    <row r="4">
      <c r="A4" t="inlineStr">
        <is>
          <t>Tong</t>
        </is>
      </c>
      <c r="B4" t="inlineStr">
        <is>
          <t>glass</t>
        </is>
      </c>
      <c r="C4" t="inlineStr">
        <is>
          <t>Tong.AX</t>
        </is>
      </c>
      <c r="D4" t="n">
        <v>0.1</v>
      </c>
      <c r="E4" t="n">
        <v>8</v>
      </c>
      <c r="F4" t="n">
        <v>20</v>
      </c>
      <c r="G4" t="n">
        <v>0.00108</v>
      </c>
      <c r="H4" t="n">
        <v>6.714e-05</v>
      </c>
      <c r="I4" t="n">
        <v>8.85</v>
      </c>
      <c r="J4" t="n">
        <v>0.178</v>
      </c>
      <c r="K4" t="inlineStr">
        <is>
          <t>half-split</t>
        </is>
      </c>
      <c r="L4" t="inlineStr">
        <is>
          <t>yes</t>
        </is>
      </c>
    </row>
    <row r="5">
      <c r="A5" t="inlineStr">
        <is>
          <t>Tong</t>
        </is>
      </c>
      <c r="B5" t="inlineStr">
        <is>
          <t>glass</t>
        </is>
      </c>
      <c r="C5" t="inlineStr">
        <is>
          <t>Tong.E</t>
        </is>
      </c>
      <c r="D5" t="n">
        <v>0.2</v>
      </c>
      <c r="E5" t="n">
        <v>4</v>
      </c>
      <c r="F5" t="n">
        <v>20</v>
      </c>
      <c r="G5" t="n">
        <v>0.008619999999999999</v>
      </c>
      <c r="H5" t="n">
        <v>3.223e-05</v>
      </c>
      <c r="I5" t="n">
        <v>12.6</v>
      </c>
      <c r="J5" t="n">
        <v>0.355</v>
      </c>
      <c r="K5" t="inlineStr">
        <is>
          <t>half-split</t>
        </is>
      </c>
      <c r="L5" t="inlineStr">
        <is>
          <t>yes</t>
        </is>
      </c>
    </row>
    <row r="6">
      <c r="A6" t="inlineStr">
        <is>
          <t>Tong</t>
        </is>
      </c>
      <c r="B6" t="inlineStr">
        <is>
          <t>glass</t>
        </is>
      </c>
      <c r="C6" t="inlineStr">
        <is>
          <t>Tong.BE</t>
        </is>
      </c>
      <c r="D6" t="n">
        <v>0.2</v>
      </c>
      <c r="E6" t="n">
        <v>8</v>
      </c>
      <c r="F6" t="n">
        <v>20</v>
      </c>
      <c r="G6" t="n">
        <v>0.00247</v>
      </c>
      <c r="H6" t="n">
        <v>2.983e-05</v>
      </c>
      <c r="I6" t="n">
        <v>11.85</v>
      </c>
      <c r="J6" t="n">
        <v>0.355</v>
      </c>
      <c r="K6" t="inlineStr">
        <is>
          <t>half-split</t>
        </is>
      </c>
      <c r="L6" t="inlineStr">
        <is>
          <t>yes</t>
        </is>
      </c>
    </row>
    <row r="7">
      <c r="A7" t="inlineStr">
        <is>
          <t>Tong</t>
        </is>
      </c>
      <c r="B7" t="inlineStr">
        <is>
          <t>glass</t>
        </is>
      </c>
      <c r="C7" t="inlineStr">
        <is>
          <t>Tong.BH</t>
        </is>
      </c>
      <c r="D7" t="n">
        <v>0.2</v>
      </c>
      <c r="E7" t="n">
        <v>8</v>
      </c>
      <c r="F7" t="n">
        <v>20</v>
      </c>
      <c r="G7" t="n">
        <v>0.00061</v>
      </c>
      <c r="H7" t="n">
        <v>8.561e-05</v>
      </c>
      <c r="I7" t="n">
        <v>5.16</v>
      </c>
      <c r="J7" t="n">
        <v>0.355</v>
      </c>
      <c r="K7" t="inlineStr">
        <is>
          <t>half-split</t>
        </is>
      </c>
      <c r="L7" t="inlineStr">
        <is>
          <t>yes</t>
        </is>
      </c>
    </row>
    <row r="8">
      <c r="A8" t="inlineStr">
        <is>
          <t>Tong</t>
        </is>
      </c>
      <c r="B8" t="inlineStr">
        <is>
          <t>glass</t>
        </is>
      </c>
      <c r="C8" t="inlineStr">
        <is>
          <t>Tong.BN</t>
        </is>
      </c>
      <c r="D8" t="n">
        <v>0.2</v>
      </c>
      <c r="E8" t="n">
        <v>8</v>
      </c>
      <c r="F8" t="n">
        <v>20</v>
      </c>
      <c r="G8" t="n">
        <v>0.00056</v>
      </c>
      <c r="H8" t="n">
        <v>9.041e-05</v>
      </c>
      <c r="I8" t="n">
        <v>18.46</v>
      </c>
      <c r="J8" t="n">
        <v>0.355</v>
      </c>
      <c r="K8" t="inlineStr">
        <is>
          <t>half-split</t>
        </is>
      </c>
      <c r="L8" t="inlineStr">
        <is>
          <t>no -- cost &gt; 15</t>
        </is>
      </c>
    </row>
    <row r="9">
      <c r="A9" t="inlineStr">
        <is>
          <t>Tong</t>
        </is>
      </c>
      <c r="B9" t="inlineStr">
        <is>
          <t>glass</t>
        </is>
      </c>
      <c r="C9" t="inlineStr">
        <is>
          <t>Tong.O</t>
        </is>
      </c>
      <c r="D9" t="n">
        <v>0.5</v>
      </c>
      <c r="E9" t="n">
        <v>4</v>
      </c>
      <c r="F9" t="n">
        <v>20</v>
      </c>
      <c r="G9" t="n">
        <v>0.00323</v>
      </c>
      <c r="H9" t="n">
        <v>1.347e-05</v>
      </c>
      <c r="I9" t="n">
        <v>9.720000000000001</v>
      </c>
      <c r="J9" t="n">
        <v>0.888</v>
      </c>
      <c r="K9" t="inlineStr">
        <is>
          <t>half-split</t>
        </is>
      </c>
      <c r="L9" t="inlineStr">
        <is>
          <t>yes</t>
        </is>
      </c>
    </row>
    <row r="10">
      <c r="A10" t="inlineStr">
        <is>
          <t>Tong</t>
        </is>
      </c>
      <c r="B10" t="inlineStr">
        <is>
          <t>glass</t>
        </is>
      </c>
      <c r="C10" t="inlineStr">
        <is>
          <t>Tong.BU</t>
        </is>
      </c>
      <c r="D10" t="n">
        <v>0.5</v>
      </c>
      <c r="E10" t="n">
        <v>8</v>
      </c>
      <c r="F10" t="n">
        <v>20</v>
      </c>
      <c r="G10" t="n">
        <v>0.00279</v>
      </c>
      <c r="H10" t="n">
        <v>5.624e-05</v>
      </c>
      <c r="I10" t="n">
        <v>8.130000000000001</v>
      </c>
      <c r="J10" t="n">
        <v>0.888</v>
      </c>
      <c r="K10" t="inlineStr">
        <is>
          <t>half-split</t>
        </is>
      </c>
      <c r="L10" t="inlineStr">
        <is>
          <t>yes</t>
        </is>
      </c>
    </row>
    <row r="11">
      <c r="A11" t="inlineStr">
        <is>
          <t>Tong</t>
        </is>
      </c>
      <c r="B11" t="inlineStr">
        <is>
          <t>glass</t>
        </is>
      </c>
      <c r="C11" t="inlineStr">
        <is>
          <t>Tong.U</t>
        </is>
      </c>
      <c r="D11" t="n">
        <v>0.5</v>
      </c>
      <c r="E11" t="n">
        <v>4</v>
      </c>
      <c r="F11" t="n">
        <v>50</v>
      </c>
      <c r="G11" t="n">
        <v>0.03717</v>
      </c>
      <c r="H11" t="n">
        <v>1e-06</v>
      </c>
      <c r="I11" t="n">
        <v>10.06</v>
      </c>
      <c r="J11" t="n">
        <v>2.625</v>
      </c>
      <c r="K11" t="inlineStr">
        <is>
          <t>half-split</t>
        </is>
      </c>
      <c r="L11" t="inlineStr">
        <is>
          <t>yes</t>
        </is>
      </c>
    </row>
    <row r="12">
      <c r="A12" t="inlineStr">
        <is>
          <t>Tong</t>
        </is>
      </c>
      <c r="B12" t="inlineStr">
        <is>
          <t>glass</t>
        </is>
      </c>
      <c r="C12" t="inlineStr">
        <is>
          <t>Tong.CE</t>
        </is>
      </c>
      <c r="D12" t="n">
        <v>1</v>
      </c>
      <c r="E12" t="n">
        <v>8</v>
      </c>
      <c r="F12" t="n">
        <v>20</v>
      </c>
      <c r="G12" t="n">
        <v>0.00463</v>
      </c>
      <c r="H12" t="n">
        <v>9.338e-05</v>
      </c>
      <c r="I12" t="n">
        <v>48.72</v>
      </c>
      <c r="J12" t="n">
        <v>1.776</v>
      </c>
      <c r="K12" t="inlineStr">
        <is>
          <t>half-split</t>
        </is>
      </c>
      <c r="L12" t="inlineStr">
        <is>
          <t>no -- cost &gt; 15</t>
        </is>
      </c>
    </row>
    <row r="13">
      <c r="A13" t="inlineStr">
        <is>
          <t>Li</t>
        </is>
      </c>
      <c r="B13" t="inlineStr">
        <is>
          <t>glass</t>
        </is>
      </c>
      <c r="C13" t="inlineStr">
        <is>
          <t>Li.R</t>
        </is>
      </c>
      <c r="D13" t="n">
        <v>1.1</v>
      </c>
      <c r="E13" t="n">
        <v>4</v>
      </c>
      <c r="F13" t="n">
        <v>6</v>
      </c>
      <c r="G13" t="n">
        <v>0.00066</v>
      </c>
      <c r="H13" t="n">
        <v>3.402e-05</v>
      </c>
      <c r="I13" t="n">
        <v>4.83</v>
      </c>
      <c r="J13" t="n">
        <v>0.466</v>
      </c>
      <c r="K13" t="inlineStr">
        <is>
          <t>half-split</t>
        </is>
      </c>
      <c r="L13" t="inlineStr">
        <is>
          <t>yes</t>
        </is>
      </c>
    </row>
    <row r="14">
      <c r="A14" t="inlineStr">
        <is>
          <t>Tong</t>
        </is>
      </c>
      <c r="B14" t="inlineStr">
        <is>
          <t>glass</t>
        </is>
      </c>
      <c r="C14" t="inlineStr">
        <is>
          <t>Tong.AE</t>
        </is>
      </c>
      <c r="D14" t="n">
        <v>1.1</v>
      </c>
      <c r="E14" t="n">
        <v>4</v>
      </c>
      <c r="F14" t="n">
        <v>20</v>
      </c>
      <c r="G14" t="n">
        <v>0.02387</v>
      </c>
      <c r="H14" t="n">
        <v>6.329999999999999e-05</v>
      </c>
      <c r="I14" t="n">
        <v>74.01000000000001</v>
      </c>
      <c r="J14" t="n">
        <v>1.954</v>
      </c>
      <c r="K14" t="inlineStr">
        <is>
          <t>half-split</t>
        </is>
      </c>
      <c r="L14" t="inlineStr">
        <is>
          <t>no -- cost &gt; 15</t>
        </is>
      </c>
    </row>
    <row r="15">
      <c r="A15" t="inlineStr">
        <is>
          <t>Tong</t>
        </is>
      </c>
      <c r="B15" t="inlineStr">
        <is>
          <t>glass</t>
        </is>
      </c>
      <c r="C15" t="inlineStr">
        <is>
          <t>Tong.AK</t>
        </is>
      </c>
      <c r="D15" t="n">
        <v>1.1</v>
      </c>
      <c r="E15" t="n">
        <v>4</v>
      </c>
      <c r="F15" t="n">
        <v>20</v>
      </c>
      <c r="G15" t="n">
        <v>0.00581</v>
      </c>
      <c r="H15" t="n">
        <v>9.991e-05</v>
      </c>
      <c r="I15" t="n">
        <v>33.45</v>
      </c>
      <c r="J15" t="n">
        <v>1.954</v>
      </c>
      <c r="K15" t="inlineStr">
        <is>
          <t>half-split</t>
        </is>
      </c>
      <c r="L15" t="inlineStr">
        <is>
          <t>no -- cost &gt; 15</t>
        </is>
      </c>
    </row>
    <row r="16">
      <c r="A16" t="inlineStr">
        <is>
          <t>Tong</t>
        </is>
      </c>
      <c r="B16" t="inlineStr">
        <is>
          <t>glass</t>
        </is>
      </c>
      <c r="C16" t="inlineStr">
        <is>
          <t>Tong.AQ</t>
        </is>
      </c>
      <c r="D16" t="n">
        <v>1.1</v>
      </c>
      <c r="E16" t="n">
        <v>4</v>
      </c>
      <c r="F16" t="n">
        <v>20</v>
      </c>
      <c r="G16" t="n">
        <v>0.00976</v>
      </c>
      <c r="H16" t="n">
        <v>6.367000000000001e-05</v>
      </c>
      <c r="I16" t="n">
        <v>55.24</v>
      </c>
      <c r="J16" t="n">
        <v>1.954</v>
      </c>
      <c r="K16" t="inlineStr">
        <is>
          <t>half-split</t>
        </is>
      </c>
      <c r="L16" t="inlineStr">
        <is>
          <t>no -- cost &gt; 15</t>
        </is>
      </c>
    </row>
    <row r="17">
      <c r="A17" t="inlineStr">
        <is>
          <t>Li</t>
        </is>
      </c>
      <c r="B17" t="inlineStr">
        <is>
          <t>glass</t>
        </is>
      </c>
      <c r="C17" t="inlineStr">
        <is>
          <t>Li.O</t>
        </is>
      </c>
      <c r="D17" t="n">
        <v>1.1</v>
      </c>
      <c r="E17" t="n">
        <v>4</v>
      </c>
      <c r="F17" t="n">
        <v>20</v>
      </c>
      <c r="G17" t="n">
        <v>0.00169</v>
      </c>
      <c r="H17" t="n">
        <v>1.758e-05</v>
      </c>
      <c r="I17" t="n">
        <v>12.49</v>
      </c>
      <c r="J17" t="n">
        <v>1.954</v>
      </c>
      <c r="K17" t="inlineStr">
        <is>
          <t>half-split</t>
        </is>
      </c>
      <c r="L17" t="inlineStr">
        <is>
          <t>yes</t>
        </is>
      </c>
    </row>
    <row r="18">
      <c r="A18" t="inlineStr">
        <is>
          <t>Li</t>
        </is>
      </c>
      <c r="B18" t="inlineStr">
        <is>
          <t>glass</t>
        </is>
      </c>
      <c r="C18" t="inlineStr">
        <is>
          <t>Li.L</t>
        </is>
      </c>
      <c r="D18" t="n">
        <v>1.1</v>
      </c>
      <c r="E18" t="n">
        <v>4</v>
      </c>
      <c r="F18" t="n">
        <v>50</v>
      </c>
      <c r="G18" t="n">
        <v>0.00243</v>
      </c>
      <c r="H18" t="n">
        <v>3.85e-06</v>
      </c>
      <c r="I18" t="n">
        <v>3.94</v>
      </c>
      <c r="J18" t="n">
        <v>5.774</v>
      </c>
      <c r="K18" t="inlineStr">
        <is>
          <t>half-split</t>
        </is>
      </c>
      <c r="L18" t="inlineStr">
        <is>
          <t>yes</t>
        </is>
      </c>
    </row>
    <row r="19">
      <c r="A19" t="inlineStr">
        <is>
          <t>Tong</t>
        </is>
      </c>
      <c r="B19" t="inlineStr">
        <is>
          <t>glass</t>
        </is>
      </c>
      <c r="C19" t="inlineStr">
        <is>
          <t>Tong.CI</t>
        </is>
      </c>
      <c r="D19" t="n">
        <v>2</v>
      </c>
      <c r="E19" t="n">
        <v>8</v>
      </c>
      <c r="F19" t="n">
        <v>20</v>
      </c>
      <c r="G19" t="n">
        <v>0.01227</v>
      </c>
      <c r="H19" t="n">
        <v>8.524e-05</v>
      </c>
      <c r="I19" t="n">
        <v>8.220000000000001</v>
      </c>
      <c r="J19" t="n">
        <v>3.552</v>
      </c>
      <c r="K19" t="inlineStr">
        <is>
          <t>half-split</t>
        </is>
      </c>
      <c r="L19" t="inlineStr">
        <is>
          <t>yes</t>
        </is>
      </c>
    </row>
    <row r="20">
      <c r="A20" t="inlineStr">
        <is>
          <t>Tong</t>
        </is>
      </c>
      <c r="B20" t="inlineStr">
        <is>
          <t>glass</t>
        </is>
      </c>
      <c r="C20" t="inlineStr">
        <is>
          <t>Tong.CO</t>
        </is>
      </c>
      <c r="D20" t="n">
        <v>2</v>
      </c>
      <c r="E20" t="n">
        <v>8</v>
      </c>
      <c r="F20" t="n">
        <v>20</v>
      </c>
      <c r="G20" t="n">
        <v>0.01302</v>
      </c>
      <c r="H20" t="n">
        <v>0.000127</v>
      </c>
      <c r="I20" t="n">
        <v>40.87</v>
      </c>
      <c r="J20" t="n">
        <v>3.552</v>
      </c>
      <c r="K20" t="inlineStr">
        <is>
          <t>half-split</t>
        </is>
      </c>
      <c r="L20" t="inlineStr">
        <is>
          <t>no -- cost &gt; 15</t>
        </is>
      </c>
    </row>
    <row r="21">
      <c r="A21" t="inlineStr">
        <is>
          <t>Tong</t>
        </is>
      </c>
      <c r="B21" t="inlineStr">
        <is>
          <t>glass</t>
        </is>
      </c>
      <c r="C21" t="inlineStr">
        <is>
          <t>Tong.CV</t>
        </is>
      </c>
      <c r="D21" t="n">
        <v>2</v>
      </c>
      <c r="E21" t="n">
        <v>8</v>
      </c>
      <c r="F21" t="n">
        <v>50</v>
      </c>
      <c r="G21" t="n">
        <v>0.00252</v>
      </c>
      <c r="H21" t="n">
        <v>3.155e-05</v>
      </c>
      <c r="I21" t="n">
        <v>29.63</v>
      </c>
      <c r="J21" t="n">
        <v>10.498</v>
      </c>
      <c r="K21" t="inlineStr">
        <is>
          <t>half-split</t>
        </is>
      </c>
      <c r="L21" t="inlineStr">
        <is>
          <t>no -- cost &gt; 15</t>
        </is>
      </c>
    </row>
    <row r="22">
      <c r="A22" t="inlineStr">
        <is>
          <t>Tong</t>
        </is>
      </c>
      <c r="B22" t="inlineStr">
        <is>
          <t>quartz</t>
        </is>
      </c>
      <c r="C22" t="inlineStr">
        <is>
          <t>Tong.B</t>
        </is>
      </c>
      <c r="D22" t="n">
        <v>0.5</v>
      </c>
      <c r="E22" t="n">
        <v>4</v>
      </c>
      <c r="F22" t="n">
        <v>20</v>
      </c>
      <c r="G22" t="n">
        <v>0.02576</v>
      </c>
      <c r="H22" t="n">
        <v>4.557e-05</v>
      </c>
      <c r="I22" t="n">
        <v>3.98</v>
      </c>
      <c r="J22" t="n">
        <v>2.985</v>
      </c>
      <c r="K22" t="inlineStr">
        <is>
          <t>half-split</t>
        </is>
      </c>
      <c r="L22" t="inlineStr">
        <is>
          <t>yes</t>
        </is>
      </c>
    </row>
    <row r="23">
      <c r="A23" t="inlineStr">
        <is>
          <t>Tong</t>
        </is>
      </c>
      <c r="B23" t="inlineStr">
        <is>
          <t>quartz</t>
        </is>
      </c>
      <c r="C23" t="inlineStr">
        <is>
          <t>Tong.H</t>
        </is>
      </c>
      <c r="D23" t="n">
        <v>0.5</v>
      </c>
      <c r="E23" t="n">
        <v>4</v>
      </c>
      <c r="F23" t="n">
        <v>50</v>
      </c>
      <c r="G23" t="n">
        <v>0.03403</v>
      </c>
      <c r="H23" t="n">
        <v>2.236e-05</v>
      </c>
      <c r="I23" t="n">
        <v>30.13</v>
      </c>
      <c r="J23" t="inlineStr"/>
      <c r="K23" t="inlineStr">
        <is>
          <t>half-split</t>
        </is>
      </c>
      <c r="L23" t="inlineStr">
        <is>
          <t>no -- no zeta at this ionic strength</t>
        </is>
      </c>
    </row>
    <row r="24">
      <c r="A24" t="inlineStr">
        <is>
          <t>Tong</t>
        </is>
      </c>
      <c r="B24" t="inlineStr">
        <is>
          <t>quartz</t>
        </is>
      </c>
      <c r="C24" t="inlineStr">
        <is>
          <t>Tong.R</t>
        </is>
      </c>
      <c r="D24" t="n">
        <v>0.5</v>
      </c>
      <c r="E24" t="n">
        <v>8</v>
      </c>
      <c r="F24" t="n">
        <v>50</v>
      </c>
      <c r="G24" t="n">
        <v>0.04875</v>
      </c>
      <c r="H24" t="n">
        <v>5.371e-05</v>
      </c>
      <c r="I24" t="n">
        <v>21.01</v>
      </c>
      <c r="J24" t="inlineStr"/>
      <c r="K24" t="inlineStr">
        <is>
          <t>half-split</t>
        </is>
      </c>
      <c r="L24" t="inlineStr">
        <is>
          <t>no -- no zeta at this ionic strength</t>
        </is>
      </c>
    </row>
    <row r="25">
      <c r="A25" t="inlineStr">
        <is>
          <t>Li</t>
        </is>
      </c>
      <c r="B25" t="inlineStr">
        <is>
          <t>quartz</t>
        </is>
      </c>
      <c r="C25" t="inlineStr">
        <is>
          <t>Li.AE</t>
        </is>
      </c>
      <c r="D25" t="n">
        <v>1.1</v>
      </c>
      <c r="E25" t="n">
        <v>4</v>
      </c>
      <c r="F25" t="n">
        <v>3</v>
      </c>
      <c r="G25" t="n">
        <v>0.00455</v>
      </c>
      <c r="H25" t="n">
        <v>2.198e-05</v>
      </c>
      <c r="I25" t="n">
        <v>48.11</v>
      </c>
      <c r="J25" t="inlineStr"/>
      <c r="K25" t="inlineStr">
        <is>
          <t>4-point inlet</t>
        </is>
      </c>
      <c r="L25" t="inlineStr">
        <is>
          <t>no -- no zeta at this ionic strength</t>
        </is>
      </c>
    </row>
    <row r="26">
      <c r="A26" t="inlineStr">
        <is>
          <t>Li</t>
        </is>
      </c>
      <c r="B26" t="inlineStr">
        <is>
          <t>quartz</t>
        </is>
      </c>
      <c r="C26" t="inlineStr">
        <is>
          <t>Li.AH</t>
        </is>
      </c>
      <c r="D26" t="n">
        <v>1.1</v>
      </c>
      <c r="E26" t="n">
        <v>4</v>
      </c>
      <c r="F26" t="n">
        <v>3</v>
      </c>
      <c r="G26" t="n">
        <v>0.00081</v>
      </c>
      <c r="H26" t="n">
        <v>2.032e-05</v>
      </c>
      <c r="I26" t="n">
        <v>214.34</v>
      </c>
      <c r="J26" t="inlineStr"/>
      <c r="K26" t="inlineStr">
        <is>
          <t>4-point inlet</t>
        </is>
      </c>
      <c r="L26" t="inlineStr">
        <is>
          <t>no -- no zeta at this ionic strength</t>
        </is>
      </c>
    </row>
    <row r="27">
      <c r="A27" t="inlineStr">
        <is>
          <t>Li</t>
        </is>
      </c>
      <c r="B27" t="inlineStr">
        <is>
          <t>quartz</t>
        </is>
      </c>
      <c r="C27" t="inlineStr">
        <is>
          <t>Li.V</t>
        </is>
      </c>
      <c r="D27" t="n">
        <v>1.1</v>
      </c>
      <c r="E27" t="n">
        <v>4</v>
      </c>
      <c r="F27" t="n">
        <v>6</v>
      </c>
      <c r="G27" t="n">
        <v>0.008569999999999999</v>
      </c>
      <c r="H27" t="n">
        <v>2.677e-05</v>
      </c>
      <c r="I27" t="n">
        <v>2.72</v>
      </c>
      <c r="J27" t="n">
        <v>1.557</v>
      </c>
      <c r="K27" t="inlineStr">
        <is>
          <t>4-point inlet</t>
        </is>
      </c>
      <c r="L27" t="inlineStr">
        <is>
          <t>yes</t>
        </is>
      </c>
    </row>
    <row r="28">
      <c r="A28" t="inlineStr">
        <is>
          <t>Li</t>
        </is>
      </c>
      <c r="B28" t="inlineStr">
        <is>
          <t>quartz</t>
        </is>
      </c>
      <c r="C28" t="inlineStr">
        <is>
          <t>Li.Y</t>
        </is>
      </c>
      <c r="D28" t="n">
        <v>1.1</v>
      </c>
      <c r="E28" t="n">
        <v>4</v>
      </c>
      <c r="F28" t="n">
        <v>6</v>
      </c>
      <c r="G28" t="n">
        <v>0.00297</v>
      </c>
      <c r="H28" t="n">
        <v>7.558e-06</v>
      </c>
      <c r="I28" t="n">
        <v>3.72</v>
      </c>
      <c r="J28" t="n">
        <v>1.557</v>
      </c>
      <c r="K28" t="inlineStr">
        <is>
          <t>4-point inlet</t>
        </is>
      </c>
      <c r="L28" t="inlineStr">
        <is>
          <t>yes</t>
        </is>
      </c>
    </row>
    <row r="29">
      <c r="A29" t="inlineStr">
        <is>
          <t>Li</t>
        </is>
      </c>
      <c r="B29" t="inlineStr">
        <is>
          <t>quartz</t>
        </is>
      </c>
      <c r="C29" t="inlineStr">
        <is>
          <t>Li.AB</t>
        </is>
      </c>
      <c r="D29" t="n">
        <v>1.1</v>
      </c>
      <c r="E29" t="n">
        <v>4</v>
      </c>
      <c r="F29" t="n">
        <v>6</v>
      </c>
      <c r="G29" t="n">
        <v>0.00117</v>
      </c>
      <c r="H29" t="n">
        <v>2.476e-05</v>
      </c>
      <c r="I29" t="n">
        <v>54.61</v>
      </c>
      <c r="J29" t="n">
        <v>1.557</v>
      </c>
      <c r="K29" t="inlineStr">
        <is>
          <t>4-point inlet</t>
        </is>
      </c>
      <c r="L29" t="inlineStr">
        <is>
          <t>no -- cost &gt; 15</t>
        </is>
      </c>
    </row>
    <row r="30">
      <c r="A30" t="inlineStr">
        <is>
          <t>Li</t>
        </is>
      </c>
      <c r="B30" t="inlineStr">
        <is>
          <t>quartz</t>
        </is>
      </c>
      <c r="C30" t="inlineStr">
        <is>
          <t>Li.M</t>
        </is>
      </c>
      <c r="D30" t="n">
        <v>1.1</v>
      </c>
      <c r="E30" t="n">
        <v>4</v>
      </c>
      <c r="F30" t="n">
        <v>20</v>
      </c>
      <c r="G30" t="n">
        <v>0.00055</v>
      </c>
      <c r="H30" t="n">
        <v>0.005625</v>
      </c>
      <c r="I30" t="n">
        <v>0.72</v>
      </c>
      <c r="J30" t="n">
        <v>6.566</v>
      </c>
      <c r="K30" t="inlineStr">
        <is>
          <t>half-split</t>
        </is>
      </c>
      <c r="L30" t="inlineStr">
        <is>
          <t>NO -- pinning f_x costs -0.0%: f_x not identifiable here (degenerate)</t>
        </is>
      </c>
    </row>
    <row r="31">
      <c r="A31" t="inlineStr">
        <is>
          <t>Li</t>
        </is>
      </c>
      <c r="B31" t="inlineStr">
        <is>
          <t>quartz</t>
        </is>
      </c>
      <c r="C31" t="inlineStr">
        <is>
          <t>Li.P</t>
        </is>
      </c>
      <c r="D31" t="n">
        <v>1.1</v>
      </c>
      <c r="E31" t="n">
        <v>4</v>
      </c>
      <c r="F31" t="n">
        <v>20</v>
      </c>
      <c r="G31" t="n">
        <v>0.00427</v>
      </c>
      <c r="H31" t="n">
        <v>5.485e-06</v>
      </c>
      <c r="I31" t="n">
        <v>1.14</v>
      </c>
      <c r="J31" t="n">
        <v>6.566</v>
      </c>
      <c r="K31" t="inlineStr">
        <is>
          <t>half-split</t>
        </is>
      </c>
      <c r="L31" t="inlineStr">
        <is>
          <t>yes</t>
        </is>
      </c>
    </row>
    <row r="32">
      <c r="A32" t="inlineStr">
        <is>
          <t>Li</t>
        </is>
      </c>
      <c r="B32" t="inlineStr">
        <is>
          <t>quartz</t>
        </is>
      </c>
      <c r="C32" t="inlineStr">
        <is>
          <t>Li.S</t>
        </is>
      </c>
      <c r="D32" t="n">
        <v>1.1</v>
      </c>
      <c r="E32" t="n">
        <v>4</v>
      </c>
      <c r="F32" t="n">
        <v>20</v>
      </c>
      <c r="G32" t="n">
        <v>0.00151</v>
      </c>
      <c r="H32" t="n">
        <v>1.323e-05</v>
      </c>
      <c r="I32" t="n">
        <v>0.4</v>
      </c>
      <c r="J32" t="n">
        <v>6.566</v>
      </c>
      <c r="K32" t="inlineStr">
        <is>
          <t>half-split</t>
        </is>
      </c>
      <c r="L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2" customWidth="1" min="3" max="3"/>
    <col width="8" customWidth="1" min="4" max="4"/>
    <col width="8" customWidth="1" min="5" max="5"/>
    <col width="7" customWidth="1" min="6" max="6"/>
    <col width="8" customWidth="1" min="7" max="7"/>
    <col width="21" customWidth="1" min="8" max="8"/>
    <col width="14" customWidth="1" min="9" max="9"/>
    <col width="12" customWidth="1" min="10" max="10"/>
    <col width="11" customWidth="1" min="11" max="11"/>
  </cols>
  <sheetData>
    <row r="1">
      <c r="A1" s="1" t="inlineStr">
        <is>
          <t>f_x per CONDITION -- geometric mean over replicate columns, mean cost</t>
        </is>
      </c>
    </row>
    <row r="2">
      <c r="A2" s="2" t="inlineStr">
        <is>
          <t>Uniform rule for both media. The distributed workbook mixed conventions (per-column for glass, per-condition for quartz, and only AQ of the three glass 1.1 um 20 mM replicates); that mixture is arbitrary and is not reproduced.</t>
        </is>
      </c>
    </row>
    <row r="3">
      <c r="A3" s="2" t="inlineStr">
        <is>
          <t>Degenerate columns -- those where pinning f_x costs less than 1%, i.e. f_x is not identifiable -- are dropped BEFORE averaging; see 'n dropped'. A condition with every column degenerate has no usable f_x. (This test replaced a one-sided 'k_r on the 1e-6 bound' test on 2026-08-25, which stopped catching Li.M once its k_r flew UP instead of railing down.)</t>
        </is>
      </c>
    </row>
    <row r="4">
      <c r="A4" s="1" t="inlineStr">
        <is>
          <t>study</t>
        </is>
      </c>
      <c r="B4" s="1" t="inlineStr">
        <is>
          <t>medium</t>
        </is>
      </c>
      <c r="C4" s="1" t="inlineStr">
        <is>
          <t>cols</t>
        </is>
      </c>
      <c r="D4" s="1" t="inlineStr">
        <is>
          <t>size_um</t>
        </is>
      </c>
      <c r="E4" s="1" t="inlineStr">
        <is>
          <t>v_mday</t>
        </is>
      </c>
      <c r="F4" s="1" t="inlineStr">
        <is>
          <t>IS_mM</t>
        </is>
      </c>
      <c r="G4" s="1" t="inlineStr">
        <is>
          <t>n_used</t>
        </is>
      </c>
      <c r="H4" s="1" t="inlineStr">
        <is>
          <t>n dropped (degenerate)</t>
        </is>
      </c>
      <c r="I4" s="1" t="inlineStr">
        <is>
          <t>f_x (geomean)</t>
        </is>
      </c>
      <c r="J4" s="1" t="inlineStr">
        <is>
          <t>cost (mean)</t>
        </is>
      </c>
      <c r="K4" s="1" t="inlineStr">
        <is>
          <t>|U_sec|_kT</t>
        </is>
      </c>
    </row>
    <row r="5">
      <c r="A5" t="inlineStr">
        <is>
          <t>Tong</t>
        </is>
      </c>
      <c r="B5" t="inlineStr">
        <is>
          <t>glass</t>
        </is>
      </c>
      <c r="C5" t="inlineStr">
        <is>
          <t>AX</t>
        </is>
      </c>
      <c r="D5" t="n">
        <v>0.1</v>
      </c>
      <c r="E5" t="n">
        <v>8</v>
      </c>
      <c r="F5" t="n">
        <v>20</v>
      </c>
      <c r="G5" t="n">
        <v>1</v>
      </c>
      <c r="H5" t="n">
        <v>0</v>
      </c>
      <c r="I5" t="n">
        <v>0.00108</v>
      </c>
      <c r="J5" t="n">
        <v>8.85</v>
      </c>
      <c r="K5" t="n">
        <v>0.178</v>
      </c>
    </row>
    <row r="6">
      <c r="A6" t="inlineStr">
        <is>
          <t>Tong</t>
        </is>
      </c>
      <c r="B6" t="inlineStr">
        <is>
          <t>glass</t>
        </is>
      </c>
      <c r="C6" t="inlineStr">
        <is>
          <t>E</t>
        </is>
      </c>
      <c r="D6" t="n">
        <v>0.2</v>
      </c>
      <c r="E6" t="n">
        <v>4</v>
      </c>
      <c r="F6" t="n">
        <v>20</v>
      </c>
      <c r="G6" t="n">
        <v>1</v>
      </c>
      <c r="H6" t="n">
        <v>0</v>
      </c>
      <c r="I6" t="n">
        <v>0.008619999999999999</v>
      </c>
      <c r="J6" t="n">
        <v>12.6</v>
      </c>
      <c r="K6" t="n">
        <v>0.355</v>
      </c>
    </row>
    <row r="7">
      <c r="A7" t="inlineStr">
        <is>
          <t>Tong</t>
        </is>
      </c>
      <c r="B7" t="inlineStr">
        <is>
          <t>glass</t>
        </is>
      </c>
      <c r="C7" t="inlineStr">
        <is>
          <t>BE/BH/BN</t>
        </is>
      </c>
      <c r="D7" t="n">
        <v>0.2</v>
      </c>
      <c r="E7" t="n">
        <v>8</v>
      </c>
      <c r="F7" t="n">
        <v>20</v>
      </c>
      <c r="G7" t="n">
        <v>3</v>
      </c>
      <c r="H7" t="n">
        <v>0</v>
      </c>
      <c r="I7" t="n">
        <v>0.00095</v>
      </c>
      <c r="J7" t="n">
        <v>11.82</v>
      </c>
      <c r="K7" t="n">
        <v>0.355</v>
      </c>
    </row>
    <row r="8">
      <c r="A8" t="inlineStr">
        <is>
          <t>Tong</t>
        </is>
      </c>
      <c r="B8" t="inlineStr">
        <is>
          <t>glass</t>
        </is>
      </c>
      <c r="C8" t="inlineStr">
        <is>
          <t>O</t>
        </is>
      </c>
      <c r="D8" t="n">
        <v>0.5</v>
      </c>
      <c r="E8" t="n">
        <v>4</v>
      </c>
      <c r="F8" t="n">
        <v>20</v>
      </c>
      <c r="G8" t="n">
        <v>1</v>
      </c>
      <c r="H8" t="n">
        <v>0</v>
      </c>
      <c r="I8" t="n">
        <v>0.00323</v>
      </c>
      <c r="J8" t="n">
        <v>9.720000000000001</v>
      </c>
      <c r="K8" t="n">
        <v>0.888</v>
      </c>
    </row>
    <row r="9">
      <c r="A9" t="inlineStr">
        <is>
          <t>Tong</t>
        </is>
      </c>
      <c r="B9" t="inlineStr">
        <is>
          <t>glass</t>
        </is>
      </c>
      <c r="C9" t="inlineStr">
        <is>
          <t>BU</t>
        </is>
      </c>
      <c r="D9" t="n">
        <v>0.5</v>
      </c>
      <c r="E9" t="n">
        <v>8</v>
      </c>
      <c r="F9" t="n">
        <v>20</v>
      </c>
      <c r="G9" t="n">
        <v>1</v>
      </c>
      <c r="H9" t="n">
        <v>0</v>
      </c>
      <c r="I9" t="n">
        <v>0.00279</v>
      </c>
      <c r="J9" t="n">
        <v>8.130000000000001</v>
      </c>
      <c r="K9" t="n">
        <v>0.888</v>
      </c>
    </row>
    <row r="10">
      <c r="A10" t="inlineStr">
        <is>
          <t>Tong</t>
        </is>
      </c>
      <c r="B10" t="inlineStr">
        <is>
          <t>glass</t>
        </is>
      </c>
      <c r="C10" t="inlineStr">
        <is>
          <t>U</t>
        </is>
      </c>
      <c r="D10" t="n">
        <v>0.5</v>
      </c>
      <c r="E10" t="n">
        <v>4</v>
      </c>
      <c r="F10" t="n">
        <v>50</v>
      </c>
      <c r="G10" t="n">
        <v>1</v>
      </c>
      <c r="H10" t="n">
        <v>0</v>
      </c>
      <c r="I10" t="n">
        <v>0.03717</v>
      </c>
      <c r="J10" t="n">
        <v>10.06</v>
      </c>
      <c r="K10" t="n">
        <v>2.625</v>
      </c>
    </row>
    <row r="11">
      <c r="A11" t="inlineStr">
        <is>
          <t>Tong</t>
        </is>
      </c>
      <c r="B11" t="inlineStr">
        <is>
          <t>glass</t>
        </is>
      </c>
      <c r="C11" t="inlineStr">
        <is>
          <t>CE</t>
        </is>
      </c>
      <c r="D11" t="n">
        <v>1</v>
      </c>
      <c r="E11" t="n">
        <v>8</v>
      </c>
      <c r="F11" t="n">
        <v>20</v>
      </c>
      <c r="G11" t="n">
        <v>0</v>
      </c>
      <c r="H11" t="n">
        <v>1</v>
      </c>
      <c r="I11" t="inlineStr">
        <is>
          <t>none usable</t>
        </is>
      </c>
      <c r="J11" t="inlineStr"/>
      <c r="K11" t="n">
        <v>1.776</v>
      </c>
    </row>
    <row r="12">
      <c r="A12" t="inlineStr">
        <is>
          <t>Li</t>
        </is>
      </c>
      <c r="B12" t="inlineStr">
        <is>
          <t>glass</t>
        </is>
      </c>
      <c r="C12" t="inlineStr">
        <is>
          <t>R</t>
        </is>
      </c>
      <c r="D12" t="n">
        <v>1.1</v>
      </c>
      <c r="E12" t="n">
        <v>4</v>
      </c>
      <c r="F12" t="n">
        <v>6</v>
      </c>
      <c r="G12" t="n">
        <v>1</v>
      </c>
      <c r="H12" t="n">
        <v>0</v>
      </c>
      <c r="I12" t="n">
        <v>0.00066</v>
      </c>
      <c r="J12" t="n">
        <v>4.83</v>
      </c>
      <c r="K12" t="n">
        <v>0.466</v>
      </c>
    </row>
    <row r="13">
      <c r="A13" t="inlineStr">
        <is>
          <t>Tong</t>
        </is>
      </c>
      <c r="B13" t="inlineStr">
        <is>
          <t>glass</t>
        </is>
      </c>
      <c r="C13" t="inlineStr">
        <is>
          <t>AE/AK/AQ</t>
        </is>
      </c>
      <c r="D13" t="n">
        <v>1.1</v>
      </c>
      <c r="E13" t="n">
        <v>4</v>
      </c>
      <c r="F13" t="n">
        <v>20</v>
      </c>
      <c r="G13" t="n">
        <v>3</v>
      </c>
      <c r="H13" t="n">
        <v>0</v>
      </c>
      <c r="I13" t="n">
        <v>0.01107</v>
      </c>
      <c r="J13" t="n">
        <v>54.23</v>
      </c>
      <c r="K13" t="n">
        <v>1.954</v>
      </c>
    </row>
    <row r="14">
      <c r="A14" t="inlineStr">
        <is>
          <t>Li</t>
        </is>
      </c>
      <c r="B14" t="inlineStr">
        <is>
          <t>glass</t>
        </is>
      </c>
      <c r="C14" t="inlineStr">
        <is>
          <t>O</t>
        </is>
      </c>
      <c r="D14" t="n">
        <v>1.1</v>
      </c>
      <c r="E14" t="n">
        <v>4</v>
      </c>
      <c r="F14" t="n">
        <v>20</v>
      </c>
      <c r="G14" t="n">
        <v>1</v>
      </c>
      <c r="H14" t="n">
        <v>0</v>
      </c>
      <c r="I14" t="n">
        <v>0.00169</v>
      </c>
      <c r="J14" t="n">
        <v>12.49</v>
      </c>
      <c r="K14" t="n">
        <v>1.954</v>
      </c>
    </row>
    <row r="15">
      <c r="A15" t="inlineStr">
        <is>
          <t>Li</t>
        </is>
      </c>
      <c r="B15" t="inlineStr">
        <is>
          <t>glass</t>
        </is>
      </c>
      <c r="C15" t="inlineStr">
        <is>
          <t>L</t>
        </is>
      </c>
      <c r="D15" t="n">
        <v>1.1</v>
      </c>
      <c r="E15" t="n">
        <v>4</v>
      </c>
      <c r="F15" t="n">
        <v>50</v>
      </c>
      <c r="G15" t="n">
        <v>1</v>
      </c>
      <c r="H15" t="n">
        <v>0</v>
      </c>
      <c r="I15" t="n">
        <v>0.00243</v>
      </c>
      <c r="J15" t="n">
        <v>3.94</v>
      </c>
      <c r="K15" t="n">
        <v>5.774</v>
      </c>
    </row>
    <row r="16">
      <c r="A16" t="inlineStr">
        <is>
          <t>Tong</t>
        </is>
      </c>
      <c r="B16" t="inlineStr">
        <is>
          <t>glass</t>
        </is>
      </c>
      <c r="C16" t="inlineStr">
        <is>
          <t>CI/CO</t>
        </is>
      </c>
      <c r="D16" t="n">
        <v>2</v>
      </c>
      <c r="E16" t="n">
        <v>8</v>
      </c>
      <c r="F16" t="n">
        <v>20</v>
      </c>
      <c r="G16" t="n">
        <v>2</v>
      </c>
      <c r="H16" t="n">
        <v>0</v>
      </c>
      <c r="I16" t="n">
        <v>0.01264</v>
      </c>
      <c r="J16" t="n">
        <v>24.55</v>
      </c>
      <c r="K16" t="n">
        <v>3.552</v>
      </c>
    </row>
    <row r="17">
      <c r="A17" t="inlineStr">
        <is>
          <t>Tong</t>
        </is>
      </c>
      <c r="B17" t="inlineStr">
        <is>
          <t>glass</t>
        </is>
      </c>
      <c r="C17" t="inlineStr">
        <is>
          <t>CV</t>
        </is>
      </c>
      <c r="D17" t="n">
        <v>2</v>
      </c>
      <c r="E17" t="n">
        <v>8</v>
      </c>
      <c r="F17" t="n">
        <v>50</v>
      </c>
      <c r="G17" t="n">
        <v>1</v>
      </c>
      <c r="H17" t="n">
        <v>0</v>
      </c>
      <c r="I17" t="n">
        <v>0.00252</v>
      </c>
      <c r="J17" t="n">
        <v>29.63</v>
      </c>
      <c r="K17" t="n">
        <v>10.498</v>
      </c>
    </row>
    <row r="18">
      <c r="A18" t="inlineStr">
        <is>
          <t>Tong</t>
        </is>
      </c>
      <c r="B18" t="inlineStr">
        <is>
          <t>quartz</t>
        </is>
      </c>
      <c r="C18" t="inlineStr">
        <is>
          <t>B</t>
        </is>
      </c>
      <c r="D18" t="n">
        <v>0.5</v>
      </c>
      <c r="E18" t="n">
        <v>4</v>
      </c>
      <c r="F18" t="n">
        <v>20</v>
      </c>
      <c r="G18" t="n">
        <v>1</v>
      </c>
      <c r="H18" t="n">
        <v>0</v>
      </c>
      <c r="I18" t="n">
        <v>0.02576</v>
      </c>
      <c r="J18" t="n">
        <v>3.98</v>
      </c>
      <c r="K18" t="n">
        <v>2.985</v>
      </c>
    </row>
    <row r="19">
      <c r="A19" t="inlineStr">
        <is>
          <t>Tong</t>
        </is>
      </c>
      <c r="B19" t="inlineStr">
        <is>
          <t>quartz</t>
        </is>
      </c>
      <c r="C19" t="inlineStr">
        <is>
          <t>H</t>
        </is>
      </c>
      <c r="D19" t="n">
        <v>0.5</v>
      </c>
      <c r="E19" t="n">
        <v>4</v>
      </c>
      <c r="F19" t="n">
        <v>50</v>
      </c>
      <c r="G19" t="n">
        <v>1</v>
      </c>
      <c r="H19" t="n">
        <v>0</v>
      </c>
      <c r="I19" t="n">
        <v>0.03403</v>
      </c>
      <c r="J19" t="n">
        <v>30.13</v>
      </c>
      <c r="K19" t="inlineStr"/>
    </row>
    <row r="20">
      <c r="A20" t="inlineStr">
        <is>
          <t>Tong</t>
        </is>
      </c>
      <c r="B20" t="inlineStr">
        <is>
          <t>quartz</t>
        </is>
      </c>
      <c r="C20" t="inlineStr">
        <is>
          <t>R</t>
        </is>
      </c>
      <c r="D20" t="n">
        <v>0.5</v>
      </c>
      <c r="E20" t="n">
        <v>8</v>
      </c>
      <c r="F20" t="n">
        <v>50</v>
      </c>
      <c r="G20" t="n">
        <v>1</v>
      </c>
      <c r="H20" t="n">
        <v>0</v>
      </c>
      <c r="I20" t="n">
        <v>0.04875</v>
      </c>
      <c r="J20" t="n">
        <v>21.01</v>
      </c>
      <c r="K20" t="inlineStr"/>
    </row>
    <row r="21">
      <c r="A21" t="inlineStr">
        <is>
          <t>Li</t>
        </is>
      </c>
      <c r="B21" t="inlineStr">
        <is>
          <t>quartz</t>
        </is>
      </c>
      <c r="C21" t="inlineStr">
        <is>
          <t>AE/AH</t>
        </is>
      </c>
      <c r="D21" t="n">
        <v>1.1</v>
      </c>
      <c r="E21" t="n">
        <v>4</v>
      </c>
      <c r="F21" t="n">
        <v>3</v>
      </c>
      <c r="G21" t="n">
        <v>1</v>
      </c>
      <c r="H21" t="n">
        <v>1</v>
      </c>
      <c r="I21" t="n">
        <v>0.00081</v>
      </c>
      <c r="J21" t="n">
        <v>214.34</v>
      </c>
      <c r="K21" t="inlineStr"/>
    </row>
    <row r="22">
      <c r="A22" t="inlineStr">
        <is>
          <t>Li</t>
        </is>
      </c>
      <c r="B22" t="inlineStr">
        <is>
          <t>quartz</t>
        </is>
      </c>
      <c r="C22" t="inlineStr">
        <is>
          <t>V/Y/AB</t>
        </is>
      </c>
      <c r="D22" t="n">
        <v>1.1</v>
      </c>
      <c r="E22" t="n">
        <v>4</v>
      </c>
      <c r="F22" t="n">
        <v>6</v>
      </c>
      <c r="G22" t="n">
        <v>3</v>
      </c>
      <c r="H22" t="n">
        <v>0</v>
      </c>
      <c r="I22" t="n">
        <v>0.0031</v>
      </c>
      <c r="J22" t="n">
        <v>20.35</v>
      </c>
      <c r="K22" t="n">
        <v>1.557</v>
      </c>
    </row>
    <row r="23">
      <c r="A23" t="inlineStr">
        <is>
          <t>Li</t>
        </is>
      </c>
      <c r="B23" t="inlineStr">
        <is>
          <t>quartz</t>
        </is>
      </c>
      <c r="C23" t="inlineStr">
        <is>
          <t>M/P/S</t>
        </is>
      </c>
      <c r="D23" t="n">
        <v>1.1</v>
      </c>
      <c r="E23" t="n">
        <v>4</v>
      </c>
      <c r="F23" t="n">
        <v>20</v>
      </c>
      <c r="G23" t="n">
        <v>2</v>
      </c>
      <c r="H23" t="n">
        <v>1</v>
      </c>
      <c r="I23" t="n">
        <v>0.00254</v>
      </c>
      <c r="J23" t="n">
        <v>0.77</v>
      </c>
      <c r="K23" t="n">
        <v>6.566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7" customWidth="1" min="4" max="4"/>
    <col width="10" customWidth="1" min="5" max="5"/>
    <col width="10" customWidth="1" min="6" max="6"/>
    <col width="11" customWidth="1" min="7" max="7"/>
    <col width="9" customWidth="1" min="8" max="8"/>
  </cols>
  <sheetData>
    <row r="1">
      <c r="A1" s="1" t="inlineStr">
        <is>
          <t>f_x NECESSITY vs SIZE at constant v = 8 m/day, 20 mM (glass Tong 0.1-2.0 um)</t>
        </is>
      </c>
    </row>
    <row r="2">
      <c r="A2" s="2" t="inlineStr">
        <is>
          <t>f_x free vs PINNED to F = 0.0026: total free 150.25, pinned 198.58 -&gt; +32.2%  (n = 8 columns).</t>
        </is>
      </c>
    </row>
    <row r="3">
      <c r="A3" s="2" t="inlineStr">
        <is>
          <t>f_x carries size information: pinning it to one constant across the size series costs this much, with a_s/a_m/k_r still free to compensate.</t>
        </is>
      </c>
    </row>
    <row r="5">
      <c r="A5" s="1" t="inlineStr">
        <is>
          <t>col</t>
        </is>
      </c>
      <c r="B5" s="1" t="inlineStr">
        <is>
          <t>size_um</t>
        </is>
      </c>
      <c r="C5" s="1" t="inlineStr">
        <is>
          <t>v_mday</t>
        </is>
      </c>
      <c r="D5" s="1" t="inlineStr">
        <is>
          <t>IS_mM</t>
        </is>
      </c>
      <c r="E5" s="1" t="inlineStr">
        <is>
          <t>f_x_free</t>
        </is>
      </c>
      <c r="F5" s="1" t="inlineStr">
        <is>
          <t>cost_free</t>
        </is>
      </c>
      <c r="G5" s="1" t="inlineStr">
        <is>
          <t>cost_pinned</t>
        </is>
      </c>
      <c r="H5" s="1" t="inlineStr">
        <is>
          <t>delta_pct</t>
        </is>
      </c>
    </row>
    <row r="6">
      <c r="A6" t="inlineStr">
        <is>
          <t>Tong.AX</t>
        </is>
      </c>
      <c r="B6" t="n">
        <v>0.1</v>
      </c>
      <c r="C6" t="n">
        <v>8</v>
      </c>
      <c r="D6" t="n">
        <v>20</v>
      </c>
      <c r="E6" t="n">
        <v>0.00108</v>
      </c>
      <c r="F6" t="n">
        <v>8.85</v>
      </c>
      <c r="G6" t="n">
        <v>12.98</v>
      </c>
      <c r="H6" t="n">
        <v>46.6</v>
      </c>
    </row>
    <row r="7">
      <c r="A7" t="inlineStr">
        <is>
          <t>Tong.BE</t>
        </is>
      </c>
      <c r="B7" t="n">
        <v>0.2</v>
      </c>
      <c r="C7" t="n">
        <v>8</v>
      </c>
      <c r="D7" t="n">
        <v>20</v>
      </c>
      <c r="E7" t="n">
        <v>0.00247</v>
      </c>
      <c r="F7" t="n">
        <v>11.85</v>
      </c>
      <c r="G7" t="n">
        <v>11.85</v>
      </c>
      <c r="H7" t="n">
        <v>0.1</v>
      </c>
    </row>
    <row r="8">
      <c r="A8" t="inlineStr">
        <is>
          <t>Tong.BH</t>
        </is>
      </c>
      <c r="B8" t="n">
        <v>0.2</v>
      </c>
      <c r="C8" t="n">
        <v>8</v>
      </c>
      <c r="D8" t="n">
        <v>20</v>
      </c>
      <c r="E8" t="n">
        <v>0.00061</v>
      </c>
      <c r="F8" t="n">
        <v>5.16</v>
      </c>
      <c r="G8" t="n">
        <v>12.65</v>
      </c>
      <c r="H8" t="n">
        <v>145.3</v>
      </c>
    </row>
    <row r="9">
      <c r="A9" t="inlineStr">
        <is>
          <t>Tong.BN</t>
        </is>
      </c>
      <c r="B9" t="n">
        <v>0.2</v>
      </c>
      <c r="C9" t="n">
        <v>8</v>
      </c>
      <c r="D9" t="n">
        <v>20</v>
      </c>
      <c r="E9" t="n">
        <v>0.00056</v>
      </c>
      <c r="F9" t="n">
        <v>18.46</v>
      </c>
      <c r="G9" t="n">
        <v>28.06</v>
      </c>
      <c r="H9" t="n">
        <v>52</v>
      </c>
    </row>
    <row r="10">
      <c r="A10" t="inlineStr">
        <is>
          <t>Tong.BU</t>
        </is>
      </c>
      <c r="B10" t="n">
        <v>0.5</v>
      </c>
      <c r="C10" t="n">
        <v>8</v>
      </c>
      <c r="D10" t="n">
        <v>20</v>
      </c>
      <c r="E10" t="n">
        <v>0.00279</v>
      </c>
      <c r="F10" t="n">
        <v>8.130000000000001</v>
      </c>
      <c r="G10" t="n">
        <v>8.17</v>
      </c>
      <c r="H10" t="n">
        <v>0.5</v>
      </c>
    </row>
    <row r="11">
      <c r="A11" t="inlineStr">
        <is>
          <t>Tong.CE</t>
        </is>
      </c>
      <c r="B11" t="n">
        <v>1</v>
      </c>
      <c r="C11" t="n">
        <v>8</v>
      </c>
      <c r="D11" t="n">
        <v>20</v>
      </c>
      <c r="E11" t="n">
        <v>0.00463</v>
      </c>
      <c r="F11" t="n">
        <v>48.72</v>
      </c>
      <c r="G11" t="n">
        <v>50.51</v>
      </c>
      <c r="H11" t="n">
        <v>3.7</v>
      </c>
    </row>
    <row r="12">
      <c r="A12" t="inlineStr">
        <is>
          <t>Tong.CI</t>
        </is>
      </c>
      <c r="B12" t="n">
        <v>2</v>
      </c>
      <c r="C12" t="n">
        <v>8</v>
      </c>
      <c r="D12" t="n">
        <v>20</v>
      </c>
      <c r="E12" t="n">
        <v>0.01227</v>
      </c>
      <c r="F12" t="n">
        <v>8.220000000000001</v>
      </c>
      <c r="G12" t="n">
        <v>21.63</v>
      </c>
      <c r="H12" t="n">
        <v>163</v>
      </c>
    </row>
    <row r="13">
      <c r="A13" t="inlineStr">
        <is>
          <t>Tong.CO</t>
        </is>
      </c>
      <c r="B13" t="n">
        <v>2</v>
      </c>
      <c r="C13" t="n">
        <v>8</v>
      </c>
      <c r="D13" t="n">
        <v>20</v>
      </c>
      <c r="E13" t="n">
        <v>0.01302</v>
      </c>
      <c r="F13" t="n">
        <v>40.87</v>
      </c>
      <c r="G13" t="n">
        <v>52.73</v>
      </c>
      <c r="H13" t="n">
        <v>29</v>
      </c>
    </row>
    <row r="14">
      <c r="A14" s="1" t="inlineStr">
        <is>
          <t>TOTAL</t>
        </is>
      </c>
      <c r="F14" s="1" t="n">
        <v>150.25</v>
      </c>
      <c r="G14" s="1" t="n">
        <v>198.58</v>
      </c>
      <c r="H14" s="1" t="n">
        <v>32.2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7" customWidth="1" min="4" max="4"/>
    <col width="10" customWidth="1" min="5" max="5"/>
    <col width="10" customWidth="1" min="6" max="6"/>
    <col width="11" customWidth="1" min="7" max="7"/>
    <col width="9" customWidth="1" min="8" max="8"/>
  </cols>
  <sheetData>
    <row r="1">
      <c r="A1" s="1" t="inlineStr">
        <is>
          <t>f_x NECESSITY vs IONIC STRENGTH at constant 1.1 um, 4 m/day (glass Li 6/20/50 mM)</t>
        </is>
      </c>
    </row>
    <row r="2">
      <c r="A2" s="2" t="inlineStr">
        <is>
          <t>f_x free vs PINNED to F = 0.0014: total free 21.27, pinned 25.00 -&gt; +17.5%  (n = 3 columns).</t>
        </is>
      </c>
    </row>
    <row r="3">
      <c r="A3" s="2" t="inlineStr">
        <is>
          <t>Pin is the SERIES GEOMETRIC MEAN, matching the size sheet and kr_trend.py's convention. NOTE: the distributed workbook pinned this series to 0.0017 -- the 20 mM column's own f_x -- which is why its 20 mM row showed a delta of exactly 0. That anchored choice is not reproduced here.</t>
        </is>
      </c>
    </row>
    <row r="5">
      <c r="A5" s="1" t="inlineStr">
        <is>
          <t>col</t>
        </is>
      </c>
      <c r="B5" s="1" t="inlineStr">
        <is>
          <t>size_um</t>
        </is>
      </c>
      <c r="C5" s="1" t="inlineStr">
        <is>
          <t>v_mday</t>
        </is>
      </c>
      <c r="D5" s="1" t="inlineStr">
        <is>
          <t>IS_mM</t>
        </is>
      </c>
      <c r="E5" s="1" t="inlineStr">
        <is>
          <t>f_x_free</t>
        </is>
      </c>
      <c r="F5" s="1" t="inlineStr">
        <is>
          <t>cost_free</t>
        </is>
      </c>
      <c r="G5" s="1" t="inlineStr">
        <is>
          <t>cost_pinned</t>
        </is>
      </c>
      <c r="H5" s="1" t="inlineStr">
        <is>
          <t>delta_pct</t>
        </is>
      </c>
    </row>
    <row r="6">
      <c r="A6" t="inlineStr">
        <is>
          <t>Li.R</t>
        </is>
      </c>
      <c r="B6" t="n">
        <v>1.1</v>
      </c>
      <c r="C6" t="n">
        <v>4</v>
      </c>
      <c r="D6" t="n">
        <v>6</v>
      </c>
      <c r="E6" t="n">
        <v>0.00066</v>
      </c>
      <c r="F6" t="n">
        <v>4.83</v>
      </c>
      <c r="G6" t="n">
        <v>7.7</v>
      </c>
      <c r="H6" t="n">
        <v>59.3</v>
      </c>
    </row>
    <row r="7">
      <c r="A7" t="inlineStr">
        <is>
          <t>Li.O</t>
        </is>
      </c>
      <c r="B7" t="n">
        <v>1.1</v>
      </c>
      <c r="C7" t="n">
        <v>4</v>
      </c>
      <c r="D7" t="n">
        <v>20</v>
      </c>
      <c r="E7" t="n">
        <v>0.00169</v>
      </c>
      <c r="F7" t="n">
        <v>12.49</v>
      </c>
      <c r="G7" t="n">
        <v>12.68</v>
      </c>
      <c r="H7" t="n">
        <v>1.5</v>
      </c>
    </row>
    <row r="8">
      <c r="A8" t="inlineStr">
        <is>
          <t>Li.L</t>
        </is>
      </c>
      <c r="B8" t="n">
        <v>1.1</v>
      </c>
      <c r="C8" t="n">
        <v>4</v>
      </c>
      <c r="D8" t="n">
        <v>50</v>
      </c>
      <c r="E8" t="n">
        <v>0.00243</v>
      </c>
      <c r="F8" t="n">
        <v>3.94</v>
      </c>
      <c r="G8" t="n">
        <v>4.62</v>
      </c>
      <c r="H8" t="n">
        <v>17.3</v>
      </c>
    </row>
    <row r="9">
      <c r="A9" s="1" t="inlineStr">
        <is>
          <t>TOTAL</t>
        </is>
      </c>
      <c r="F9" s="1" t="n">
        <v>21.27</v>
      </c>
      <c r="G9" s="1" t="n">
        <v>25</v>
      </c>
      <c r="H9" s="1" t="n">
        <v>17.5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8" customWidth="1" min="4" max="4"/>
    <col width="7" customWidth="1" min="5" max="5"/>
    <col width="12" customWidth="1" min="6" max="6"/>
    <col width="14" customWidth="1" min="7" max="7"/>
    <col width="15" customWidth="1" min="8" max="8"/>
    <col width="11" customWidth="1" min="9" max="9"/>
    <col width="10" customWidth="1" min="10" max="10"/>
    <col width="9" customWidth="1" min="11" max="11"/>
    <col width="13" customWidth="1" min="12" max="12"/>
  </cols>
  <sheetData>
    <row r="1">
      <c r="A1" s="1" t="inlineStr">
        <is>
          <t>f_x vs secondary-minimum depth |U_sec| -- the single variable through which size, ionic strength AND mineralogy act</t>
        </is>
      </c>
    </row>
    <row r="2">
      <c r="A2" s="2" t="inlineStr">
        <is>
          <t>|U_sec| = -min_h[U_vdw+U_edl]/kT over h&gt;8 nm, sphere-plate (Gregory-retarded vdW + LSA-EDL), imported from fx_vs_usec.py -- one copy of that physics, not a re-implementation. A132 glass 7.17e-21 J, quartz 1.96e-20 J; zeta from Johnson 2018 Table SI-1. |U_sec| does NOT encode velocity.</t>
        </is>
      </c>
    </row>
    <row r="3">
      <c r="A3" s="2" t="inlineStr">
        <is>
          <t>TWO zeta gaps, both on quartz: no colloid/collector zeta at 3 mM (Table SI-1 gives 6/20/50 mM), and no QUARTZ collector zeta at 50 mM (it gives quartz at 6 and 20 mM only). So quartz Li 1.1 um 3 mM and quartz Tong 0.5 um 50 mM carry no |U_sec| and cannot enter the closure. Since 3 mM is to be in the manuscript, that gap has to be closed with a measured or interpolated zeta -- do not invent one to fill the sheet.</t>
        </is>
      </c>
    </row>
    <row r="4">
      <c r="A4" s="1" t="inlineStr">
        <is>
          <t>study</t>
        </is>
      </c>
      <c r="B4" s="1" t="inlineStr">
        <is>
          <t>medium</t>
        </is>
      </c>
      <c r="C4" s="1" t="inlineStr">
        <is>
          <t>col</t>
        </is>
      </c>
      <c r="D4" s="1" t="inlineStr">
        <is>
          <t>size_um</t>
        </is>
      </c>
      <c r="E4" s="1" t="inlineStr">
        <is>
          <t>IS_mM</t>
        </is>
      </c>
      <c r="F4" s="1" t="inlineStr">
        <is>
          <t>Hamaker_J</t>
        </is>
      </c>
      <c r="G4" s="1" t="inlineStr">
        <is>
          <t>zeta_colloid_V</t>
        </is>
      </c>
      <c r="H4" s="1" t="inlineStr">
        <is>
          <t>zeta_collector_V</t>
        </is>
      </c>
      <c r="I4" s="1" t="inlineStr">
        <is>
          <t>|U_sec|_kT</t>
        </is>
      </c>
      <c r="J4" s="1" t="inlineStr">
        <is>
          <t>f_x</t>
        </is>
      </c>
      <c r="K4" s="1" t="inlineStr">
        <is>
          <t>cost</t>
        </is>
      </c>
      <c r="L4" s="1" t="inlineStr">
        <is>
          <t>f_x pin penalty %</t>
        </is>
      </c>
      <c r="M4" s="1" t="inlineStr">
        <is>
          <t>in closure?</t>
        </is>
      </c>
    </row>
    <row r="5">
      <c r="A5" t="inlineStr">
        <is>
          <t>Tong</t>
        </is>
      </c>
      <c r="B5" t="inlineStr">
        <is>
          <t>glass</t>
        </is>
      </c>
      <c r="C5" t="inlineStr">
        <is>
          <t>Tong.AX</t>
        </is>
      </c>
      <c r="D5" t="n">
        <v>0.1</v>
      </c>
      <c r="E5" t="n">
        <v>20</v>
      </c>
      <c r="F5" t="n">
        <v>7.169999999999999e-21</v>
      </c>
      <c r="G5" t="n">
        <v>-0.05</v>
      </c>
      <c r="H5" t="n">
        <v>-0.051</v>
      </c>
      <c r="I5" t="n">
        <v>0.178</v>
      </c>
      <c r="J5" t="n">
        <v>0.00108</v>
      </c>
      <c r="K5" t="n">
        <v>8.85</v>
      </c>
      <c r="L5" t="n">
        <v>97</v>
      </c>
      <c r="M5" t="inlineStr">
        <is>
          <t>yes</t>
        </is>
      </c>
    </row>
    <row r="6">
      <c r="A6" t="inlineStr">
        <is>
          <t>Tong</t>
        </is>
      </c>
      <c r="B6" t="inlineStr">
        <is>
          <t>glass</t>
        </is>
      </c>
      <c r="C6" t="inlineStr">
        <is>
          <t>Tong.E</t>
        </is>
      </c>
      <c r="D6" t="n">
        <v>0.2</v>
      </c>
      <c r="E6" t="n">
        <v>20</v>
      </c>
      <c r="F6" t="n">
        <v>7.169999999999999e-21</v>
      </c>
      <c r="G6" t="n">
        <v>-0.05</v>
      </c>
      <c r="H6" t="n">
        <v>-0.051</v>
      </c>
      <c r="I6" t="n">
        <v>0.355</v>
      </c>
      <c r="J6" t="n">
        <v>0.008619999999999999</v>
      </c>
      <c r="K6" t="n">
        <v>12.6</v>
      </c>
      <c r="L6" t="n">
        <v>27.8</v>
      </c>
      <c r="M6" t="inlineStr">
        <is>
          <t>yes</t>
        </is>
      </c>
    </row>
    <row r="7">
      <c r="A7" t="inlineStr">
        <is>
          <t>Tong</t>
        </is>
      </c>
      <c r="B7" t="inlineStr">
        <is>
          <t>glass</t>
        </is>
      </c>
      <c r="C7" t="inlineStr">
        <is>
          <t>Tong.BE</t>
        </is>
      </c>
      <c r="D7" t="n">
        <v>0.2</v>
      </c>
      <c r="E7" t="n">
        <v>20</v>
      </c>
      <c r="F7" t="n">
        <v>7.169999999999999e-21</v>
      </c>
      <c r="G7" t="n">
        <v>-0.05</v>
      </c>
      <c r="H7" t="n">
        <v>-0.051</v>
      </c>
      <c r="I7" t="n">
        <v>0.355</v>
      </c>
      <c r="J7" t="n">
        <v>0.00247</v>
      </c>
      <c r="K7" t="n">
        <v>11.85</v>
      </c>
      <c r="L7" t="n">
        <v>5.6</v>
      </c>
      <c r="M7" t="inlineStr">
        <is>
          <t>yes</t>
        </is>
      </c>
    </row>
    <row r="8">
      <c r="A8" t="inlineStr">
        <is>
          <t>Tong</t>
        </is>
      </c>
      <c r="B8" t="inlineStr">
        <is>
          <t>glass</t>
        </is>
      </c>
      <c r="C8" t="inlineStr">
        <is>
          <t>Tong.BH</t>
        </is>
      </c>
      <c r="D8" t="n">
        <v>0.2</v>
      </c>
      <c r="E8" t="n">
        <v>20</v>
      </c>
      <c r="F8" t="n">
        <v>7.169999999999999e-21</v>
      </c>
      <c r="G8" t="n">
        <v>-0.05</v>
      </c>
      <c r="H8" t="n">
        <v>-0.051</v>
      </c>
      <c r="I8" t="n">
        <v>0.355</v>
      </c>
      <c r="J8" t="n">
        <v>0.00061</v>
      </c>
      <c r="K8" t="n">
        <v>5.16</v>
      </c>
      <c r="L8" t="n">
        <v>234.5</v>
      </c>
      <c r="M8" t="inlineStr">
        <is>
          <t>yes</t>
        </is>
      </c>
    </row>
    <row r="9">
      <c r="A9" t="inlineStr">
        <is>
          <t>Tong</t>
        </is>
      </c>
      <c r="B9" t="inlineStr">
        <is>
          <t>glass</t>
        </is>
      </c>
      <c r="C9" t="inlineStr">
        <is>
          <t>Tong.BN</t>
        </is>
      </c>
      <c r="D9" t="n">
        <v>0.2</v>
      </c>
      <c r="E9" t="n">
        <v>20</v>
      </c>
      <c r="F9" t="n">
        <v>7.169999999999999e-21</v>
      </c>
      <c r="G9" t="n">
        <v>-0.05</v>
      </c>
      <c r="H9" t="n">
        <v>-0.051</v>
      </c>
      <c r="I9" t="n">
        <v>0.355</v>
      </c>
      <c r="J9" t="n">
        <v>0.00056</v>
      </c>
      <c r="K9" t="n">
        <v>18.46</v>
      </c>
      <c r="L9" t="n">
        <v>83</v>
      </c>
      <c r="M9" t="inlineStr">
        <is>
          <t>no (cost)</t>
        </is>
      </c>
    </row>
    <row r="10">
      <c r="A10" t="inlineStr">
        <is>
          <t>Tong</t>
        </is>
      </c>
      <c r="B10" t="inlineStr">
        <is>
          <t>glass</t>
        </is>
      </c>
      <c r="C10" t="inlineStr">
        <is>
          <t>Tong.O</t>
        </is>
      </c>
      <c r="D10" t="n">
        <v>0.5</v>
      </c>
      <c r="E10" t="n">
        <v>20</v>
      </c>
      <c r="F10" t="n">
        <v>7.169999999999999e-21</v>
      </c>
      <c r="G10" t="n">
        <v>-0.05</v>
      </c>
      <c r="H10" t="n">
        <v>-0.051</v>
      </c>
      <c r="I10" t="n">
        <v>0.888</v>
      </c>
      <c r="J10" t="n">
        <v>0.00323</v>
      </c>
      <c r="K10" t="n">
        <v>9.720000000000001</v>
      </c>
      <c r="L10" t="n">
        <v>1.2</v>
      </c>
      <c r="M10" t="inlineStr">
        <is>
          <t>yes</t>
        </is>
      </c>
    </row>
    <row r="11">
      <c r="A11" t="inlineStr">
        <is>
          <t>Tong</t>
        </is>
      </c>
      <c r="B11" t="inlineStr">
        <is>
          <t>glass</t>
        </is>
      </c>
      <c r="C11" t="inlineStr">
        <is>
          <t>Tong.BU</t>
        </is>
      </c>
      <c r="D11" t="n">
        <v>0.5</v>
      </c>
      <c r="E11" t="n">
        <v>20</v>
      </c>
      <c r="F11" t="n">
        <v>7.169999999999999e-21</v>
      </c>
      <c r="G11" t="n">
        <v>-0.05</v>
      </c>
      <c r="H11" t="n">
        <v>-0.051</v>
      </c>
      <c r="I11" t="n">
        <v>0.888</v>
      </c>
      <c r="J11" t="n">
        <v>0.00279</v>
      </c>
      <c r="K11" t="n">
        <v>8.130000000000001</v>
      </c>
      <c r="L11" t="n">
        <v>9.300000000000001</v>
      </c>
      <c r="M11" t="inlineStr">
        <is>
          <t>yes</t>
        </is>
      </c>
    </row>
    <row r="12">
      <c r="A12" t="inlineStr">
        <is>
          <t>Tong</t>
        </is>
      </c>
      <c r="B12" t="inlineStr">
        <is>
          <t>glass</t>
        </is>
      </c>
      <c r="C12" t="inlineStr">
        <is>
          <t>Tong.U</t>
        </is>
      </c>
      <c r="D12" t="n">
        <v>0.5</v>
      </c>
      <c r="E12" t="n">
        <v>50</v>
      </c>
      <c r="F12" t="n">
        <v>7.169999999999999e-21</v>
      </c>
      <c r="G12" t="n">
        <v>-0.04</v>
      </c>
      <c r="H12" t="n">
        <v>-0.038</v>
      </c>
      <c r="I12" t="n">
        <v>2.625</v>
      </c>
      <c r="J12" t="n">
        <v>0.03717</v>
      </c>
      <c r="K12" t="n">
        <v>10.06</v>
      </c>
      <c r="L12" t="n">
        <v>198.8</v>
      </c>
      <c r="M12" t="inlineStr">
        <is>
          <t>yes</t>
        </is>
      </c>
    </row>
    <row r="13">
      <c r="A13" t="inlineStr">
        <is>
          <t>Tong</t>
        </is>
      </c>
      <c r="B13" t="inlineStr">
        <is>
          <t>glass</t>
        </is>
      </c>
      <c r="C13" t="inlineStr">
        <is>
          <t>Tong.CE</t>
        </is>
      </c>
      <c r="D13" t="n">
        <v>1</v>
      </c>
      <c r="E13" t="n">
        <v>20</v>
      </c>
      <c r="F13" t="n">
        <v>7.169999999999999e-21</v>
      </c>
      <c r="G13" t="n">
        <v>-0.05</v>
      </c>
      <c r="H13" t="n">
        <v>-0.051</v>
      </c>
      <c r="I13" t="n">
        <v>1.776</v>
      </c>
      <c r="J13" t="n">
        <v>0.00463</v>
      </c>
      <c r="K13" t="n">
        <v>48.72</v>
      </c>
      <c r="L13" t="n">
        <v>0.2</v>
      </c>
      <c r="M13" t="inlineStr">
        <is>
          <t>no (cost)</t>
        </is>
      </c>
    </row>
    <row r="14">
      <c r="A14" t="inlineStr">
        <is>
          <t>Li</t>
        </is>
      </c>
      <c r="B14" t="inlineStr">
        <is>
          <t>glass</t>
        </is>
      </c>
      <c r="C14" t="inlineStr">
        <is>
          <t>Li.R</t>
        </is>
      </c>
      <c r="D14" t="n">
        <v>1.1</v>
      </c>
      <c r="E14" t="n">
        <v>6</v>
      </c>
      <c r="F14" t="n">
        <v>7.169999999999999e-21</v>
      </c>
      <c r="G14" t="n">
        <v>-0.064</v>
      </c>
      <c r="H14" t="n">
        <v>-0.07000000000000001</v>
      </c>
      <c r="I14" t="n">
        <v>0.466</v>
      </c>
      <c r="J14" t="n">
        <v>0.00066</v>
      </c>
      <c r="K14" t="n">
        <v>4.83</v>
      </c>
      <c r="L14" t="n">
        <v>273.7</v>
      </c>
      <c r="M14" t="inlineStr">
        <is>
          <t>yes</t>
        </is>
      </c>
    </row>
    <row r="15">
      <c r="A15" t="inlineStr">
        <is>
          <t>Tong</t>
        </is>
      </c>
      <c r="B15" t="inlineStr">
        <is>
          <t>glass</t>
        </is>
      </c>
      <c r="C15" t="inlineStr">
        <is>
          <t>Tong.AE</t>
        </is>
      </c>
      <c r="D15" t="n">
        <v>1.1</v>
      </c>
      <c r="E15" t="n">
        <v>20</v>
      </c>
      <c r="F15" t="n">
        <v>7.169999999999999e-21</v>
      </c>
      <c r="G15" t="n">
        <v>-0.05</v>
      </c>
      <c r="H15" t="n">
        <v>-0.051</v>
      </c>
      <c r="I15" t="n">
        <v>1.954</v>
      </c>
      <c r="J15" t="n">
        <v>0.02387</v>
      </c>
      <c r="K15" t="n">
        <v>74.01000000000001</v>
      </c>
      <c r="L15" t="n">
        <v>23.5</v>
      </c>
      <c r="M15" t="inlineStr">
        <is>
          <t>no (cost)</t>
        </is>
      </c>
    </row>
    <row r="16">
      <c r="A16" t="inlineStr">
        <is>
          <t>Tong</t>
        </is>
      </c>
      <c r="B16" t="inlineStr">
        <is>
          <t>glass</t>
        </is>
      </c>
      <c r="C16" t="inlineStr">
        <is>
          <t>Tong.AK</t>
        </is>
      </c>
      <c r="D16" t="n">
        <v>1.1</v>
      </c>
      <c r="E16" t="n">
        <v>20</v>
      </c>
      <c r="F16" t="n">
        <v>7.169999999999999e-21</v>
      </c>
      <c r="G16" t="n">
        <v>-0.05</v>
      </c>
      <c r="H16" t="n">
        <v>-0.051</v>
      </c>
      <c r="I16" t="n">
        <v>1.954</v>
      </c>
      <c r="J16" t="n">
        <v>0.00581</v>
      </c>
      <c r="K16" t="n">
        <v>33.45</v>
      </c>
      <c r="L16" t="n">
        <v>2.7</v>
      </c>
      <c r="M16" t="inlineStr">
        <is>
          <t>no (cost)</t>
        </is>
      </c>
    </row>
    <row r="17">
      <c r="A17" t="inlineStr">
        <is>
          <t>Tong</t>
        </is>
      </c>
      <c r="B17" t="inlineStr">
        <is>
          <t>glass</t>
        </is>
      </c>
      <c r="C17" t="inlineStr">
        <is>
          <t>Tong.AQ</t>
        </is>
      </c>
      <c r="D17" t="n">
        <v>1.1</v>
      </c>
      <c r="E17" t="n">
        <v>20</v>
      </c>
      <c r="F17" t="n">
        <v>7.169999999999999e-21</v>
      </c>
      <c r="G17" t="n">
        <v>-0.05</v>
      </c>
      <c r="H17" t="n">
        <v>-0.051</v>
      </c>
      <c r="I17" t="n">
        <v>1.954</v>
      </c>
      <c r="J17" t="n">
        <v>0.00976</v>
      </c>
      <c r="K17" t="n">
        <v>55.24</v>
      </c>
      <c r="L17" t="n">
        <v>13.4</v>
      </c>
      <c r="M17" t="inlineStr">
        <is>
          <t>no (cost)</t>
        </is>
      </c>
    </row>
    <row r="18">
      <c r="A18" t="inlineStr">
        <is>
          <t>Li</t>
        </is>
      </c>
      <c r="B18" t="inlineStr">
        <is>
          <t>glass</t>
        </is>
      </c>
      <c r="C18" t="inlineStr">
        <is>
          <t>Li.O</t>
        </is>
      </c>
      <c r="D18" t="n">
        <v>1.1</v>
      </c>
      <c r="E18" t="n">
        <v>20</v>
      </c>
      <c r="F18" t="n">
        <v>7.169999999999999e-21</v>
      </c>
      <c r="G18" t="n">
        <v>-0.05</v>
      </c>
      <c r="H18" t="n">
        <v>-0.051</v>
      </c>
      <c r="I18" t="n">
        <v>1.954</v>
      </c>
      <c r="J18" t="n">
        <v>0.00169</v>
      </c>
      <c r="K18" t="n">
        <v>12.49</v>
      </c>
      <c r="L18" t="n">
        <v>20.3</v>
      </c>
      <c r="M18" t="inlineStr">
        <is>
          <t>yes</t>
        </is>
      </c>
    </row>
    <row r="19">
      <c r="A19" t="inlineStr">
        <is>
          <t>Li</t>
        </is>
      </c>
      <c r="B19" t="inlineStr">
        <is>
          <t>glass</t>
        </is>
      </c>
      <c r="C19" t="inlineStr">
        <is>
          <t>Li.L</t>
        </is>
      </c>
      <c r="D19" t="n">
        <v>1.1</v>
      </c>
      <c r="E19" t="n">
        <v>50</v>
      </c>
      <c r="F19" t="n">
        <v>7.169999999999999e-21</v>
      </c>
      <c r="G19" t="n">
        <v>-0.04</v>
      </c>
      <c r="H19" t="n">
        <v>-0.038</v>
      </c>
      <c r="I19" t="n">
        <v>5.774</v>
      </c>
      <c r="J19" t="n">
        <v>0.00243</v>
      </c>
      <c r="K19" t="n">
        <v>3.94</v>
      </c>
      <c r="L19" t="n">
        <v>14.8</v>
      </c>
      <c r="M19" t="inlineStr">
        <is>
          <t>yes</t>
        </is>
      </c>
    </row>
    <row r="20">
      <c r="A20" t="inlineStr">
        <is>
          <t>Tong</t>
        </is>
      </c>
      <c r="B20" t="inlineStr">
        <is>
          <t>glass</t>
        </is>
      </c>
      <c r="C20" t="inlineStr">
        <is>
          <t>Tong.CI</t>
        </is>
      </c>
      <c r="D20" t="n">
        <v>2</v>
      </c>
      <c r="E20" t="n">
        <v>20</v>
      </c>
      <c r="F20" t="n">
        <v>7.169999999999999e-21</v>
      </c>
      <c r="G20" t="n">
        <v>-0.05</v>
      </c>
      <c r="H20" t="n">
        <v>-0.051</v>
      </c>
      <c r="I20" t="n">
        <v>3.552</v>
      </c>
      <c r="J20" t="n">
        <v>0.01227</v>
      </c>
      <c r="K20" t="n">
        <v>8.220000000000001</v>
      </c>
      <c r="L20" t="n">
        <v>82.7</v>
      </c>
      <c r="M20" t="inlineStr">
        <is>
          <t>yes</t>
        </is>
      </c>
    </row>
    <row r="21">
      <c r="A21" t="inlineStr">
        <is>
          <t>Tong</t>
        </is>
      </c>
      <c r="B21" t="inlineStr">
        <is>
          <t>glass</t>
        </is>
      </c>
      <c r="C21" t="inlineStr">
        <is>
          <t>Tong.CO</t>
        </is>
      </c>
      <c r="D21" t="n">
        <v>2</v>
      </c>
      <c r="E21" t="n">
        <v>20</v>
      </c>
      <c r="F21" t="n">
        <v>7.169999999999999e-21</v>
      </c>
      <c r="G21" t="n">
        <v>-0.05</v>
      </c>
      <c r="H21" t="n">
        <v>-0.051</v>
      </c>
      <c r="I21" t="n">
        <v>3.552</v>
      </c>
      <c r="J21" t="n">
        <v>0.01302</v>
      </c>
      <c r="K21" t="n">
        <v>40.87</v>
      </c>
      <c r="L21" t="n">
        <v>14.7</v>
      </c>
      <c r="M21" t="inlineStr">
        <is>
          <t>no (cost)</t>
        </is>
      </c>
    </row>
    <row r="22">
      <c r="A22" t="inlineStr">
        <is>
          <t>Tong</t>
        </is>
      </c>
      <c r="B22" t="inlineStr">
        <is>
          <t>glass</t>
        </is>
      </c>
      <c r="C22" t="inlineStr">
        <is>
          <t>Tong.CV</t>
        </is>
      </c>
      <c r="D22" t="n">
        <v>2</v>
      </c>
      <c r="E22" t="n">
        <v>50</v>
      </c>
      <c r="F22" t="n">
        <v>7.169999999999999e-21</v>
      </c>
      <c r="G22" t="n">
        <v>-0.04</v>
      </c>
      <c r="H22" t="n">
        <v>-0.038</v>
      </c>
      <c r="I22" t="n">
        <v>10.498</v>
      </c>
      <c r="J22" t="n">
        <v>0.00252</v>
      </c>
      <c r="K22" t="n">
        <v>29.63</v>
      </c>
      <c r="L22" t="n">
        <v>3</v>
      </c>
      <c r="M22" t="inlineStr">
        <is>
          <t>no (cost)</t>
        </is>
      </c>
    </row>
    <row r="23">
      <c r="A23" t="inlineStr">
        <is>
          <t>Tong</t>
        </is>
      </c>
      <c r="B23" t="inlineStr">
        <is>
          <t>quartz</t>
        </is>
      </c>
      <c r="C23" t="inlineStr">
        <is>
          <t>Tong.B</t>
        </is>
      </c>
      <c r="D23" t="n">
        <v>0.5</v>
      </c>
      <c r="E23" t="n">
        <v>20</v>
      </c>
      <c r="F23" t="n">
        <v>1.96e-20</v>
      </c>
      <c r="G23" t="n">
        <v>-0.05</v>
      </c>
      <c r="H23" t="n">
        <v>-0.06900000000000001</v>
      </c>
      <c r="I23" t="n">
        <v>2.985</v>
      </c>
      <c r="J23" t="n">
        <v>0.02576</v>
      </c>
      <c r="K23" t="n">
        <v>3.98</v>
      </c>
      <c r="L23" t="n">
        <v>514.3</v>
      </c>
      <c r="M23" t="inlineStr">
        <is>
          <t>yes</t>
        </is>
      </c>
    </row>
    <row r="24">
      <c r="A24" t="inlineStr">
        <is>
          <t>Tong</t>
        </is>
      </c>
      <c r="B24" t="inlineStr">
        <is>
          <t>quartz</t>
        </is>
      </c>
      <c r="C24" t="inlineStr">
        <is>
          <t>Tong.H</t>
        </is>
      </c>
      <c r="D24" t="n">
        <v>0.5</v>
      </c>
      <c r="E24" t="n">
        <v>50</v>
      </c>
      <c r="F24" t="n">
        <v>1.96e-20</v>
      </c>
      <c r="G24" t="n">
        <v>-0.04</v>
      </c>
      <c r="H24" t="inlineStr"/>
      <c r="I24" t="inlineStr"/>
      <c r="J24" t="n">
        <v>0.03403</v>
      </c>
      <c r="K24" t="n">
        <v>30.13</v>
      </c>
      <c r="L24" t="n">
        <v>119.3</v>
      </c>
      <c r="M24" t="inlineStr">
        <is>
          <t>no (no zeta)</t>
        </is>
      </c>
    </row>
    <row r="25">
      <c r="A25" t="inlineStr">
        <is>
          <t>Tong</t>
        </is>
      </c>
      <c r="B25" t="inlineStr">
        <is>
          <t>quartz</t>
        </is>
      </c>
      <c r="C25" t="inlineStr">
        <is>
          <t>Tong.R</t>
        </is>
      </c>
      <c r="D25" t="n">
        <v>0.5</v>
      </c>
      <c r="E25" t="n">
        <v>50</v>
      </c>
      <c r="F25" t="n">
        <v>1.96e-20</v>
      </c>
      <c r="G25" t="n">
        <v>-0.04</v>
      </c>
      <c r="H25" t="inlineStr"/>
      <c r="I25" t="inlineStr"/>
      <c r="J25" t="n">
        <v>0.04875</v>
      </c>
      <c r="K25" t="n">
        <v>21.01</v>
      </c>
      <c r="L25" t="n">
        <v>123.3</v>
      </c>
      <c r="M25" t="inlineStr">
        <is>
          <t>no (no zeta)</t>
        </is>
      </c>
    </row>
    <row r="26">
      <c r="A26" t="inlineStr">
        <is>
          <t>Li</t>
        </is>
      </c>
      <c r="B26" t="inlineStr">
        <is>
          <t>quartz</t>
        </is>
      </c>
      <c r="C26" t="inlineStr">
        <is>
          <t>Li.AE</t>
        </is>
      </c>
      <c r="D26" t="n">
        <v>1.1</v>
      </c>
      <c r="E26" t="n">
        <v>3</v>
      </c>
      <c r="F26" t="n">
        <v>1.96e-20</v>
      </c>
      <c r="G26" t="inlineStr"/>
      <c r="H26" t="inlineStr"/>
      <c r="I26" t="inlineStr"/>
      <c r="J26" t="n">
        <v>0.00455</v>
      </c>
      <c r="K26" t="n">
        <v>48.11</v>
      </c>
      <c r="L26" t="n">
        <v>0.1</v>
      </c>
      <c r="M26" t="inlineStr">
        <is>
          <t>no (no zeta)</t>
        </is>
      </c>
    </row>
    <row r="27">
      <c r="A27" t="inlineStr">
        <is>
          <t>Li</t>
        </is>
      </c>
      <c r="B27" t="inlineStr">
        <is>
          <t>quartz</t>
        </is>
      </c>
      <c r="C27" t="inlineStr">
        <is>
          <t>Li.AH</t>
        </is>
      </c>
      <c r="D27" t="n">
        <v>1.1</v>
      </c>
      <c r="E27" t="n">
        <v>3</v>
      </c>
      <c r="F27" t="n">
        <v>1.96e-20</v>
      </c>
      <c r="G27" t="inlineStr"/>
      <c r="H27" t="inlineStr"/>
      <c r="I27" t="inlineStr"/>
      <c r="J27" t="n">
        <v>0.00081</v>
      </c>
      <c r="K27" t="n">
        <v>214.34</v>
      </c>
      <c r="L27" t="n">
        <v>4.7</v>
      </c>
      <c r="M27" t="inlineStr">
        <is>
          <t>no (no zeta)</t>
        </is>
      </c>
    </row>
    <row r="28">
      <c r="A28" t="inlineStr">
        <is>
          <t>Li</t>
        </is>
      </c>
      <c r="B28" t="inlineStr">
        <is>
          <t>quartz</t>
        </is>
      </c>
      <c r="C28" t="inlineStr">
        <is>
          <t>Li.V</t>
        </is>
      </c>
      <c r="D28" t="n">
        <v>1.1</v>
      </c>
      <c r="E28" t="n">
        <v>6</v>
      </c>
      <c r="F28" t="n">
        <v>1.96e-20</v>
      </c>
      <c r="G28" t="n">
        <v>-0.064</v>
      </c>
      <c r="H28" t="n">
        <v>-0.083</v>
      </c>
      <c r="I28" t="n">
        <v>1.557</v>
      </c>
      <c r="J28" t="n">
        <v>0.008569999999999999</v>
      </c>
      <c r="K28" t="n">
        <v>2.72</v>
      </c>
      <c r="L28" t="n">
        <v>97.2</v>
      </c>
      <c r="M28" t="inlineStr">
        <is>
          <t>yes</t>
        </is>
      </c>
    </row>
    <row r="29">
      <c r="A29" t="inlineStr">
        <is>
          <t>Li</t>
        </is>
      </c>
      <c r="B29" t="inlineStr">
        <is>
          <t>quartz</t>
        </is>
      </c>
      <c r="C29" t="inlineStr">
        <is>
          <t>Li.Y</t>
        </is>
      </c>
      <c r="D29" t="n">
        <v>1.1</v>
      </c>
      <c r="E29" t="n">
        <v>6</v>
      </c>
      <c r="F29" t="n">
        <v>1.96e-20</v>
      </c>
      <c r="G29" t="n">
        <v>-0.064</v>
      </c>
      <c r="H29" t="n">
        <v>-0.083</v>
      </c>
      <c r="I29" t="n">
        <v>1.557</v>
      </c>
      <c r="J29" t="n">
        <v>0.00297</v>
      </c>
      <c r="K29" t="n">
        <v>3.72</v>
      </c>
      <c r="L29" t="n">
        <v>4.9</v>
      </c>
      <c r="M29" t="inlineStr">
        <is>
          <t>yes</t>
        </is>
      </c>
    </row>
    <row r="30">
      <c r="A30" t="inlineStr">
        <is>
          <t>Li</t>
        </is>
      </c>
      <c r="B30" t="inlineStr">
        <is>
          <t>quartz</t>
        </is>
      </c>
      <c r="C30" t="inlineStr">
        <is>
          <t>Li.AB</t>
        </is>
      </c>
      <c r="D30" t="n">
        <v>1.1</v>
      </c>
      <c r="E30" t="n">
        <v>6</v>
      </c>
      <c r="F30" t="n">
        <v>1.96e-20</v>
      </c>
      <c r="G30" t="n">
        <v>-0.064</v>
      </c>
      <c r="H30" t="n">
        <v>-0.083</v>
      </c>
      <c r="I30" t="n">
        <v>1.557</v>
      </c>
      <c r="J30" t="n">
        <v>0.00117</v>
      </c>
      <c r="K30" t="n">
        <v>54.61</v>
      </c>
      <c r="L30" t="n">
        <v>8.699999999999999</v>
      </c>
      <c r="M30" t="inlineStr">
        <is>
          <t>no (cost)</t>
        </is>
      </c>
    </row>
    <row r="31">
      <c r="A31" t="inlineStr">
        <is>
          <t>Li</t>
        </is>
      </c>
      <c r="B31" t="inlineStr">
        <is>
          <t>quartz</t>
        </is>
      </c>
      <c r="C31" t="inlineStr">
        <is>
          <t>Li.M</t>
        </is>
      </c>
      <c r="D31" t="n">
        <v>1.1</v>
      </c>
      <c r="E31" t="n">
        <v>20</v>
      </c>
      <c r="F31" t="n">
        <v>1.96e-20</v>
      </c>
      <c r="G31" t="n">
        <v>-0.05</v>
      </c>
      <c r="H31" t="n">
        <v>-0.06900000000000001</v>
      </c>
      <c r="I31" t="n">
        <v>6.566</v>
      </c>
      <c r="J31" t="n">
        <v>0.00055</v>
      </c>
      <c r="K31" t="n">
        <v>0.72</v>
      </c>
      <c r="L31" t="n">
        <v>-0</v>
      </c>
      <c r="M31" t="inlineStr">
        <is>
          <t>no (f_x not identifiable)</t>
        </is>
      </c>
    </row>
    <row r="32">
      <c r="A32" t="inlineStr">
        <is>
          <t>Li</t>
        </is>
      </c>
      <c r="B32" t="inlineStr">
        <is>
          <t>quartz</t>
        </is>
      </c>
      <c r="C32" t="inlineStr">
        <is>
          <t>Li.P</t>
        </is>
      </c>
      <c r="D32" t="n">
        <v>1.1</v>
      </c>
      <c r="E32" t="n">
        <v>20</v>
      </c>
      <c r="F32" t="n">
        <v>1.96e-20</v>
      </c>
      <c r="G32" t="n">
        <v>-0.05</v>
      </c>
      <c r="H32" t="n">
        <v>-0.06900000000000001</v>
      </c>
      <c r="I32" t="n">
        <v>6.566</v>
      </c>
      <c r="J32" t="n">
        <v>0.00427</v>
      </c>
      <c r="K32" t="n">
        <v>1.14</v>
      </c>
      <c r="L32" t="n">
        <v>1.3</v>
      </c>
      <c r="M32" t="inlineStr">
        <is>
          <t>yes</t>
        </is>
      </c>
    </row>
    <row r="33">
      <c r="A33" t="inlineStr">
        <is>
          <t>Li</t>
        </is>
      </c>
      <c r="B33" t="inlineStr">
        <is>
          <t>quartz</t>
        </is>
      </c>
      <c r="C33" t="inlineStr">
        <is>
          <t>Li.S</t>
        </is>
      </c>
      <c r="D33" t="n">
        <v>1.1</v>
      </c>
      <c r="E33" t="n">
        <v>20</v>
      </c>
      <c r="F33" t="n">
        <v>1.96e-20</v>
      </c>
      <c r="G33" t="n">
        <v>-0.05</v>
      </c>
      <c r="H33" t="n">
        <v>-0.06900000000000001</v>
      </c>
      <c r="I33" t="n">
        <v>6.566</v>
      </c>
      <c r="J33" t="n">
        <v>0.00151</v>
      </c>
      <c r="K33" t="n">
        <v>0.4</v>
      </c>
      <c r="L33" t="n">
        <v>818.2</v>
      </c>
      <c r="M33" t="inlineStr">
        <is>
          <t>yes</t>
        </is>
      </c>
    </row>
  </sheetData>
  <conditionalFormatting sqref="K5:K33">
    <cfRule type="colorScale" priority="1">
      <colorScale>
        <cfvo type="num" val="0.5"/>
        <cfvo type="num" val="3.16"/>
        <cfvo type="num" val="20"/>
        <color rgb="FF3B4CC0"/>
        <color rgb="FFDDDDDD"/>
        <color rgb="FFB40426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10" customWidth="1" min="4" max="4"/>
    <col width="16" customWidth="1" min="5" max="5"/>
    <col width="11" customWidth="1" min="6" max="6"/>
    <col width="10" customWidth="1" min="7" max="7"/>
    <col width="42" customWidth="1" min="8" max="8"/>
  </cols>
  <sheetData>
    <row r="1">
      <c r="A1" s="1" t="inlineStr">
        <is>
          <t>Saturating closure  f_x = fmax * (1 - exp(-|U_sec| / U*))  -- fitted in log10 f_x</t>
        </is>
      </c>
    </row>
    <row r="2">
      <c r="A2" s="2" t="inlineStr">
        <is>
          <t>FOUR-STAGE HISTORY. Stage 1 (fmax 0.0033, U* 0.42 kT) was fitted while r_s still FLOATED within a 0.25 dex window. Stage 2 (0.0088, 2.00 kT) arose when r_s was PINNED to the favorable anchor: with r_s free it had absorbed part of the retention f_x must now carry, unevenly across |U_sec|, so pinning r_s moved the f_x values themselves and the closure stretched. That MECHANISM is accepted. Stage 2's NUMBER is not: the leave-one-out block below shows the whole 2 kT result rests on the single point Li-Qtz20, whose f_x traces to column Li.M with k_r pinned on the optimiser's 1e-6 bound -- degenerate, not measured. Stage 3 (0.0047, 0.80 kT) applied a ONE-SIDED k_r floor filter. Stage 4, THIS SHEET, refits under the ACCUMULATED solid phase at excision (the eq (4) injection-window snapshot ignores 7.0 of the 10 PV and is retired) AND replaces that filter with a two-sided identifiability test. NO SINGLE U* IS ADOPTED, because the closure turns out to depend more on the filter than on the convention: 0.52 kT with the old floor filter (which lets the non-identifiable column Li.M back in -- its k_r now flies to 5.6e-3 instead of railing at 1e-6, at unchanged cost), 0.77 with Li.M removed by hand, 0.99 with the f_x-identifiability filter used here, 1.20-1.35 with the k_r-identifiability filter. RMS is 0.39-0.48 throughout, so the data do not choose. REPORT THE SHAPE AND A RANGE -- 'half to a few kT' (W.P.J., 2026-08-25) -- NOT A VALUE. NOTE the a-priori machinery (part2_apriori_alpha_machinery.md s87) expects saturation by ~2 kT and therefore does NOT support the reported closure; that disagreement is left standing rather than dropped -- if the ~2 kT expectation is right, the reading is that the fitted f_x cannot resolve the deep end.</t>
        </is>
      </c>
    </row>
    <row r="3">
      <c r="A3" s="2" t="inlineStr">
        <is>
          <t>TWO principled filters, no by-name exclusions. (1) cost &lt;= 15. (2) pinning f_x to the all-column geomean must cost at least 1% -- if it costs less, f_x is not identifiable on that column and it cannot inform a closure IN f_x. A degenerate fit earns a LOW cost precisely because it is degenerate, so filter (1) cannot catch it. Filter (2) replaced a ONE-SIDED test ('free k_r on the 1e-6 bound') on 2026-08-25: under the accumulated convention Li.M's k_r flies to 5.6e-3 instead of railing down, the floor test stopped catching it, and it re-entered the closure at the deepest well and shortened U* from 0.77 to 0.52 kT. Identifiability is two-sided. Tong-B is NOT excluded by name as the old scripts did ('~10x outlier'); it either passes these rules or it does not.</t>
        </is>
      </c>
    </row>
    <row r="5">
      <c r="A5" s="1" t="inlineStr">
        <is>
          <t>variant</t>
        </is>
      </c>
      <c r="B5" s="1" t="inlineStr">
        <is>
          <t>reliability cut</t>
        </is>
      </c>
      <c r="C5" s="1" t="inlineStr">
        <is>
          <t>fmax</t>
        </is>
      </c>
      <c r="D5" s="1" t="inlineStr">
        <is>
          <t>U* (kT)</t>
        </is>
      </c>
      <c r="E5" s="1" t="inlineStr">
        <is>
          <t>log10-RMS (dex)</t>
        </is>
      </c>
      <c r="F5" s="1" t="inlineStr">
        <is>
          <t>band (x/)</t>
        </is>
      </c>
      <c r="G5" s="1" t="inlineStr">
        <is>
          <t>n points</t>
        </is>
      </c>
      <c r="H5" s="1" t="inlineStr">
        <is>
          <t>status</t>
        </is>
      </c>
    </row>
    <row r="6">
      <c r="A6" t="inlineStr">
        <is>
          <t>per column (uniform)</t>
        </is>
      </c>
      <c r="B6" t="n">
        <v>15</v>
      </c>
      <c r="C6" t="n">
        <v>0.00595</v>
      </c>
      <c r="D6" t="n">
        <v>0.994</v>
      </c>
      <c r="E6" t="n">
        <v>0.439</v>
      </c>
      <c r="F6" t="n">
        <v>2.75</v>
      </c>
      <c r="G6" t="n">
        <v>16</v>
      </c>
      <c r="H6" t="inlineStr">
        <is>
          <t>*** REPORTED CLOSURE (stage 4) -- uniform rule, largest n. Quote the SHAPE and 'half to a few kT', not this U*. ***</t>
        </is>
      </c>
    </row>
    <row r="7">
      <c r="A7" t="inlineStr">
        <is>
          <t>per condition (uniform)</t>
        </is>
      </c>
      <c r="B7" t="n">
        <v>15</v>
      </c>
      <c r="C7" t="n">
        <v>0.00611</v>
      </c>
      <c r="D7" t="n">
        <v>1.035</v>
      </c>
      <c r="E7" t="n">
        <v>0.474</v>
      </c>
      <c r="F7" t="n">
        <v>2.98</v>
      </c>
      <c r="G7" t="n">
        <v>11</v>
      </c>
      <c r="H7" t="inlineStr">
        <is>
          <t>replicate-averaged check: same shape, U* within 0.04 kT</t>
        </is>
      </c>
    </row>
    <row r="8">
      <c r="A8" t="inlineStr">
        <is>
          <t>per column, old cut</t>
        </is>
      </c>
      <c r="B8" t="n">
        <v>3.5</v>
      </c>
      <c r="C8" t="n">
        <v>0.00381</v>
      </c>
      <c r="D8" t="n">
        <v>0.051</v>
      </c>
      <c r="E8" t="n">
        <v>0.31</v>
      </c>
      <c r="F8" t="n">
        <v>2.04</v>
      </c>
      <c r="G8" t="n">
        <v>3</v>
      </c>
      <c r="H8" t="inlineStr">
        <is>
          <t>SUPERSEDED cut; U* lands ON its 0.05 lower bound at n=4 -- unusable, shown only to demonstrate the old cut cannot be rehabilitated</t>
        </is>
      </c>
    </row>
    <row r="9">
      <c r="A9" t="inlineStr">
        <is>
          <t>stage 2 (SUPERSEDED)</t>
        </is>
      </c>
      <c r="B9" t="n">
        <v>15</v>
      </c>
      <c r="C9" t="n">
        <v>0.008800000000000001</v>
      </c>
      <c r="D9" t="n">
        <v>2</v>
      </c>
      <c r="E9" t="n">
        <v>0.411</v>
      </c>
      <c r="F9" t="n">
        <v>2.57</v>
      </c>
      <c r="G9" t="n">
        <v>12</v>
      </c>
      <c r="H9" t="inlineStr">
        <is>
          <t>distributed fx_trend.xlsx 'closure REVISED'; mixed per-column glass / per-condition quartz, Tong-B excluded by name. Reproduced exactly from its own points -- see leave-one-out below.</t>
        </is>
      </c>
    </row>
    <row r="10">
      <c r="A10" t="inlineStr">
        <is>
          <t>stage 1 (SUPERSEDED)</t>
        </is>
      </c>
      <c r="B10" t="n">
        <v>3.5</v>
      </c>
      <c r="C10" t="n">
        <v>0.0033</v>
      </c>
      <c r="D10" t="n">
        <v>0.42</v>
      </c>
      <c r="E10" t="n">
        <v>0.218</v>
      </c>
      <c r="F10" t="n">
        <v>1.62</v>
      </c>
      <c r="G10" t="n">
        <v>7</v>
      </c>
      <c r="H10" t="inlineStr">
        <is>
          <t>fx_usec_closure.py / fx_trend_analysis.md; fitted while r_s still floated within 0.25 dex</t>
        </is>
      </c>
    </row>
    <row r="12">
      <c r="A12" s="1" t="inlineStr">
        <is>
          <t>LEAVE-ONE-OUT ON STAGE 2's OWN 12 POINTS -- the evidence that retired it</t>
        </is>
      </c>
    </row>
    <row r="13">
      <c r="A13" s="2" t="inlineStr">
        <is>
          <t>Refitting stage 2's published points reproduces it digit-for-digit, which validates this script's closure fitter. Removing ONE point, Li-Qtz20, collapses it back to stage 1. No other point does that. In the current per-column fits, that condition's high f_x comes from Li.M, whose free k_r sits on the 1e-6 bound (f_x 0.21 at cost 0.72) -- degenerate, not measured.</t>
        </is>
      </c>
    </row>
    <row r="14">
      <c r="A14" s="1" t="inlineStr">
        <is>
          <t>stage-2 set</t>
        </is>
      </c>
      <c r="B14" s="1" t="inlineStr">
        <is>
          <t>fmax</t>
        </is>
      </c>
      <c r="C14" s="1" t="inlineStr">
        <is>
          <t>U* (kT)</t>
        </is>
      </c>
      <c r="D14" s="1" t="inlineStr">
        <is>
          <t>note</t>
        </is>
      </c>
    </row>
    <row r="15">
      <c r="A15" t="inlineStr">
        <is>
          <t>as published (n=12)</t>
        </is>
      </c>
      <c r="B15" t="n">
        <v>0.008800000000000001</v>
      </c>
      <c r="C15" t="n">
        <v>2</v>
      </c>
      <c r="D15" t="inlineStr">
        <is>
          <t>reproduced exactly by this script's fitter</t>
        </is>
      </c>
    </row>
    <row r="16">
      <c r="A16" t="inlineStr">
        <is>
          <t>minus Li-Qtz20 (n=11)</t>
        </is>
      </c>
      <c r="B16" t="n">
        <v>0.0038</v>
      </c>
      <c r="C16" t="n">
        <v>0.59</v>
      </c>
      <c r="D16" t="inlineStr">
        <is>
          <t>COLLAPSES to ~stage 1 -- the whole 2 kT result is this one point</t>
        </is>
      </c>
    </row>
    <row r="17">
      <c r="A17" t="inlineStr">
        <is>
          <t>minus CI (n=11)</t>
        </is>
      </c>
      <c r="B17" t="n">
        <v>0.007</v>
      </c>
      <c r="C17" t="n">
        <v>1.51</v>
      </c>
      <c r="D17" t="inlineStr">
        <is>
          <t>largest other single influence, and it is mild</t>
        </is>
      </c>
    </row>
    <row r="19">
      <c r="A19" s="1" t="inlineStr">
        <is>
          <t>REPORTED CLOSURE, EVALUATED</t>
        </is>
      </c>
    </row>
    <row r="20">
      <c r="A20" s="2" t="inlineStr">
        <is>
          <t>f_x = 0.0060 * (1 - exp(-|U_sec| / 0.99 kT)),  multiplicative band x/2.75 (the velocity + identifiability spread |U_sec| does not encode). Half-saturation at |U_sec| = 0.69 kT; 95% of plateau by 2.98 kT.</t>
        </is>
      </c>
    </row>
    <row r="21">
      <c r="A21" s="1" t="inlineStr">
        <is>
          <t>|U_sec| (kT)</t>
        </is>
      </c>
      <c r="B21" s="1" t="inlineStr">
        <is>
          <t>predicted f_x</t>
        </is>
      </c>
      <c r="C21" s="1" t="inlineStr">
        <is>
          <t>band low</t>
        </is>
      </c>
      <c r="D21" s="1" t="inlineStr">
        <is>
          <t>band high</t>
        </is>
      </c>
    </row>
    <row r="22">
      <c r="A22" t="n">
        <v>0.1</v>
      </c>
      <c r="B22" t="n">
        <v>0.00057</v>
      </c>
      <c r="C22" t="n">
        <v>0.00021</v>
      </c>
      <c r="D22" t="n">
        <v>0.00157</v>
      </c>
    </row>
    <row r="23">
      <c r="A23" t="n">
        <v>0.1125335582600765</v>
      </c>
      <c r="B23" t="n">
        <v>0.0006400000000000001</v>
      </c>
      <c r="C23" t="n">
        <v>0.00023</v>
      </c>
      <c r="D23" t="n">
        <v>0.00175</v>
      </c>
    </row>
    <row r="24">
      <c r="A24" t="n">
        <v>0.1266380173467403</v>
      </c>
      <c r="B24" t="n">
        <v>0.00071</v>
      </c>
      <c r="C24" t="n">
        <v>0.00026</v>
      </c>
      <c r="D24" t="n">
        <v>0.00196</v>
      </c>
    </row>
    <row r="25">
      <c r="A25" t="n">
        <v>0.1425102670302998</v>
      </c>
      <c r="B25" t="n">
        <v>0.00079</v>
      </c>
      <c r="C25" t="n">
        <v>0.00029</v>
      </c>
      <c r="D25" t="n">
        <v>0.00219</v>
      </c>
    </row>
    <row r="26">
      <c r="A26" t="n">
        <v>0.160371874375133</v>
      </c>
      <c r="B26" t="n">
        <v>0.0008899999999999999</v>
      </c>
      <c r="C26" t="n">
        <v>0.00032</v>
      </c>
      <c r="D26" t="n">
        <v>0.00244</v>
      </c>
    </row>
    <row r="27">
      <c r="A27" t="n">
        <v>0.180472176682717</v>
      </c>
      <c r="B27" t="n">
        <v>0.00099</v>
      </c>
      <c r="C27" t="n">
        <v>0.00036</v>
      </c>
      <c r="D27" t="n">
        <v>0.00272</v>
      </c>
    </row>
    <row r="28">
      <c r="A28" t="n">
        <v>0.2030917620904736</v>
      </c>
      <c r="B28" t="n">
        <v>0.0011</v>
      </c>
      <c r="C28" t="n">
        <v>0.0004</v>
      </c>
      <c r="D28" t="n">
        <v>0.00302</v>
      </c>
    </row>
    <row r="29">
      <c r="A29" t="n">
        <v>0.2285463864134991</v>
      </c>
      <c r="B29" t="n">
        <v>0.00122</v>
      </c>
      <c r="C29" t="n">
        <v>0.00044</v>
      </c>
      <c r="D29" t="n">
        <v>0.00336</v>
      </c>
    </row>
    <row r="30">
      <c r="A30" t="n">
        <v>0.2571913809059345</v>
      </c>
      <c r="B30" t="n">
        <v>0.00136</v>
      </c>
      <c r="C30" t="n">
        <v>0.00049</v>
      </c>
      <c r="D30" t="n">
        <v>0.00373</v>
      </c>
    </row>
    <row r="31">
      <c r="A31" t="n">
        <v>0.289426612471675</v>
      </c>
      <c r="B31" t="n">
        <v>0.0015</v>
      </c>
      <c r="C31" t="n">
        <v>0.00055</v>
      </c>
      <c r="D31" t="n">
        <v>0.00413</v>
      </c>
    </row>
    <row r="32">
      <c r="A32" t="n">
        <v>0.3257020655659783</v>
      </c>
      <c r="B32" t="n">
        <v>0.00166</v>
      </c>
      <c r="C32" t="n">
        <v>0.0005999999999999999</v>
      </c>
      <c r="D32" t="n">
        <v>0.00457</v>
      </c>
    </row>
    <row r="33">
      <c r="A33" t="n">
        <v>0.3665241237079628</v>
      </c>
      <c r="B33" t="n">
        <v>0.00184</v>
      </c>
      <c r="C33" t="n">
        <v>0.00067</v>
      </c>
      <c r="D33" t="n">
        <v>0.00505</v>
      </c>
    </row>
    <row r="34">
      <c r="A34" t="n">
        <v>0.4124626382901352</v>
      </c>
      <c r="B34" t="n">
        <v>0.00202</v>
      </c>
      <c r="C34" t="n">
        <v>0.00074</v>
      </c>
      <c r="D34" t="n">
        <v>0.00556</v>
      </c>
    </row>
    <row r="35">
      <c r="A35" t="n">
        <v>0.4641588833612779</v>
      </c>
      <c r="B35" t="n">
        <v>0.00222</v>
      </c>
      <c r="C35" t="n">
        <v>0.00081</v>
      </c>
      <c r="D35" t="n">
        <v>0.0061</v>
      </c>
    </row>
    <row r="36">
      <c r="A36" t="n">
        <v>0.5223345074266842</v>
      </c>
      <c r="B36" t="n">
        <v>0.00243</v>
      </c>
      <c r="C36" t="n">
        <v>0.00088</v>
      </c>
      <c r="D36" t="n">
        <v>0.00669</v>
      </c>
    </row>
    <row r="37">
      <c r="A37" t="n">
        <v>0.5878016072274912</v>
      </c>
      <c r="B37" t="n">
        <v>0.00266</v>
      </c>
      <c r="C37" t="n">
        <v>0.0009700000000000001</v>
      </c>
      <c r="D37" t="n">
        <v>0.0073</v>
      </c>
    </row>
    <row r="38">
      <c r="A38" t="n">
        <v>0.6614740641230149</v>
      </c>
      <c r="B38" t="n">
        <v>0.00289</v>
      </c>
      <c r="C38" t="n">
        <v>0.00105</v>
      </c>
      <c r="D38" t="n">
        <v>0.00795</v>
      </c>
    </row>
    <row r="39">
      <c r="A39" t="n">
        <v>0.7443803013251689</v>
      </c>
      <c r="B39" t="n">
        <v>0.00314</v>
      </c>
      <c r="C39" t="n">
        <v>0.00114</v>
      </c>
      <c r="D39" t="n">
        <v>0.008619999999999999</v>
      </c>
    </row>
    <row r="40">
      <c r="A40" t="n">
        <v>0.8376776400682918</v>
      </c>
      <c r="B40" t="n">
        <v>0.00339</v>
      </c>
      <c r="C40" t="n">
        <v>0.00123</v>
      </c>
      <c r="D40" t="n">
        <v>0.00932</v>
      </c>
    </row>
    <row r="41">
      <c r="A41" t="n">
        <v>0.9426684551178852</v>
      </c>
      <c r="B41" t="n">
        <v>0.00365</v>
      </c>
      <c r="C41" t="n">
        <v>0.00133</v>
      </c>
      <c r="D41" t="n">
        <v>0.01002</v>
      </c>
    </row>
    <row r="42">
      <c r="A42" t="n">
        <v>1.060818355139448</v>
      </c>
      <c r="B42" t="n">
        <v>0.0039</v>
      </c>
      <c r="C42" t="n">
        <v>0.00142</v>
      </c>
      <c r="D42" t="n">
        <v>0.01073</v>
      </c>
    </row>
    <row r="43">
      <c r="A43" t="n">
        <v>1.193776641714436</v>
      </c>
      <c r="B43" t="n">
        <v>0.00416</v>
      </c>
      <c r="C43" t="n">
        <v>0.00151</v>
      </c>
      <c r="D43" t="n">
        <v>0.01144</v>
      </c>
    </row>
    <row r="44">
      <c r="A44" t="n">
        <v>1.3433993325989</v>
      </c>
      <c r="B44" t="n">
        <v>0.00441</v>
      </c>
      <c r="C44" t="n">
        <v>0.0016</v>
      </c>
      <c r="D44" t="n">
        <v>0.01213</v>
      </c>
    </row>
    <row r="45">
      <c r="A45" t="n">
        <v>1.511775070615662</v>
      </c>
      <c r="B45" t="n">
        <v>0.00465</v>
      </c>
      <c r="C45" t="n">
        <v>0.00169</v>
      </c>
      <c r="D45" t="n">
        <v>0.01279</v>
      </c>
    </row>
    <row r="46">
      <c r="A46" t="n">
        <v>1.701254279852589</v>
      </c>
      <c r="B46" t="n">
        <v>0.00488</v>
      </c>
      <c r="C46" t="n">
        <v>0.00177</v>
      </c>
      <c r="D46" t="n">
        <v>0.01341</v>
      </c>
    </row>
    <row r="47">
      <c r="A47" t="n">
        <v>1.914481976169958</v>
      </c>
      <c r="B47" t="n">
        <v>0.00508</v>
      </c>
      <c r="C47" t="n">
        <v>0.00185</v>
      </c>
      <c r="D47" t="n">
        <v>0.01398</v>
      </c>
    </row>
    <row r="48">
      <c r="A48" t="n">
        <v>2.154434690031883</v>
      </c>
      <c r="B48" t="n">
        <v>0.00527</v>
      </c>
      <c r="C48" t="n">
        <v>0.00192</v>
      </c>
      <c r="D48" t="n">
        <v>0.01449</v>
      </c>
    </row>
    <row r="49">
      <c r="A49" t="n">
        <v>2.424462017082328</v>
      </c>
      <c r="B49" t="n">
        <v>0.00543</v>
      </c>
      <c r="C49" t="n">
        <v>0.00198</v>
      </c>
      <c r="D49" t="n">
        <v>0.01494</v>
      </c>
    </row>
    <row r="50">
      <c r="A50" t="n">
        <v>2.728333376486768</v>
      </c>
      <c r="B50" t="n">
        <v>0.00557</v>
      </c>
      <c r="C50" t="n">
        <v>0.00203</v>
      </c>
      <c r="D50" t="n">
        <v>0.01531</v>
      </c>
    </row>
    <row r="51">
      <c r="A51" t="n">
        <v>3.07029062975785</v>
      </c>
      <c r="B51" t="n">
        <v>0.00568</v>
      </c>
      <c r="C51" t="n">
        <v>0.00207</v>
      </c>
      <c r="D51" t="n">
        <v>0.01562</v>
      </c>
    </row>
    <row r="52">
      <c r="A52" t="n">
        <v>3.455107294592218</v>
      </c>
      <c r="B52" t="n">
        <v>0.00577</v>
      </c>
      <c r="C52" t="n">
        <v>0.0021</v>
      </c>
      <c r="D52" t="n">
        <v>0.01586</v>
      </c>
    </row>
    <row r="53">
      <c r="A53" t="n">
        <v>3.888155180308087</v>
      </c>
      <c r="B53" t="n">
        <v>0.00583</v>
      </c>
      <c r="C53" t="n">
        <v>0.00212</v>
      </c>
      <c r="D53" t="n">
        <v>0.01604</v>
      </c>
    </row>
    <row r="54">
      <c r="A54" t="n">
        <v>4.375479375074184</v>
      </c>
      <c r="B54" t="n">
        <v>0.00588</v>
      </c>
      <c r="C54" t="n">
        <v>0.00214</v>
      </c>
      <c r="D54" t="n">
        <v>0.01616</v>
      </c>
    </row>
    <row r="55">
      <c r="A55" t="n">
        <v>4.923882631706739</v>
      </c>
      <c r="B55" t="n">
        <v>0.00591</v>
      </c>
      <c r="C55" t="n">
        <v>0.00215</v>
      </c>
      <c r="D55" t="n">
        <v>0.01625</v>
      </c>
    </row>
    <row r="56">
      <c r="A56" t="n">
        <v>5.541020330009492</v>
      </c>
      <c r="B56" t="n">
        <v>0.00593</v>
      </c>
      <c r="C56" t="n">
        <v>0.00216</v>
      </c>
      <c r="D56" t="n">
        <v>0.0163</v>
      </c>
    </row>
    <row r="57">
      <c r="A57" t="n">
        <v>6.235507341273912</v>
      </c>
      <c r="B57" t="n">
        <v>0.00594</v>
      </c>
      <c r="C57" t="n">
        <v>0.00216</v>
      </c>
      <c r="D57" t="n">
        <v>0.01633</v>
      </c>
    </row>
    <row r="58">
      <c r="A58" t="n">
        <v>7.017038286703826</v>
      </c>
      <c r="B58" t="n">
        <v>0.00595</v>
      </c>
      <c r="C58" t="n">
        <v>0.00216</v>
      </c>
      <c r="D58" t="n">
        <v>0.01635</v>
      </c>
    </row>
    <row r="59">
      <c r="A59" t="n">
        <v>7.896522868499725</v>
      </c>
      <c r="B59" t="n">
        <v>0.00595</v>
      </c>
      <c r="C59" t="n">
        <v>0.00216</v>
      </c>
      <c r="D59" t="n">
        <v>0.01636</v>
      </c>
    </row>
    <row r="60">
      <c r="A60" t="n">
        <v>8.886238162743403</v>
      </c>
      <c r="B60" t="n">
        <v>0.00595</v>
      </c>
      <c r="C60" t="n">
        <v>0.00216</v>
      </c>
      <c r="D60" t="n">
        <v>0.01636</v>
      </c>
    </row>
    <row r="61">
      <c r="A61" t="n">
        <v>10</v>
      </c>
      <c r="B61" t="n">
        <v>0.00595</v>
      </c>
      <c r="C61" t="n">
        <v>0.00216</v>
      </c>
      <c r="D61" t="n">
        <v>0.01636</v>
      </c>
    </row>
    <row r="63">
      <c r="A63" s="2" t="inlineStr">
        <is>
          <t>CAVEAT -- do not quote U* as a precise number. Across defensible degeneracy filters under the accumulated convention the scale spans 0.5-1.4 kT (0.52 old one-sided k_r floor / 0.77 that minus Li.M / 0.99 f_x-identifiability, used here / 1.20-1.35 k_r-identifiability) at log10-RMS 0.39-0.48 throughout -- the data do not choose between them. Quote the SHAPE and a range: f_x rises with |U_sec| and saturates, half to a few kT, with the size and IS series on one curve.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2026-08-26T03:45:22Z</dcterms:created>
  <dcterms:modified xmlns:dcterms="http://purl.org/dc/terms/" xmlns:xsi="http://www.w3.org/2001/XMLSchema-instance" xsi:type="dcterms:W3CDTF">2026-08-26T03:45:22Z</dcterms:modified>
</cp:coreProperties>
</file>