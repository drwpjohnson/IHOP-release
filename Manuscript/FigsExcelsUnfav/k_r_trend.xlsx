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sExcelsUnfav\"/>
    </mc:Choice>
  </mc:AlternateContent>
  <xr:revisionPtr revIDLastSave="0" documentId="13_ncr:1_{CE7DCE04-6073-4408-8FC5-BE7BDDD8BE00}" xr6:coauthVersionLast="47" xr6:coauthVersionMax="47" xr10:uidLastSave="{00000000-0000-0000-0000-000000000000}"/>
  <bookViews>
    <workbookView xWindow="200" yWindow="170" windowWidth="18310" windowHeight="10650" activeTab="1" xr2:uid="{00000000-000D-0000-FFFF-FFFF00000000}"/>
  </bookViews>
  <sheets>
    <sheet name="k_r fitted (new)" sheetId="1" r:id="rId1"/>
    <sheet name="reference constants" sheetId="2" r:id="rId2"/>
    <sheet name="DLVO-Kramers curve" sheetId="3" r:id="rId3"/>
    <sheet name="k_r necessity (shared const)" sheetId="4" r:id="rId4"/>
  </sheets>
  <calcPr calcId="0"/>
</workbook>
</file>

<file path=xl/sharedStrings.xml><?xml version="1.0" encoding="utf-8"?>
<sst xmlns="http://schemas.openxmlformats.org/spreadsheetml/2006/main" count="193" uniqueCount="79">
  <si>
    <t>Fitted crawl-&gt;wall release k_r -- CURRENT fits (r_s fixed; k_r FREE per column; -6 floor; IS&gt;1 mM)</t>
  </si>
  <si>
    <t>Scatter data for the k_r-vs-size/IS/velocity figures. k_r in /s and /PV.</t>
  </si>
  <si>
    <t>medium</t>
  </si>
  <si>
    <t>col</t>
  </si>
  <si>
    <t>size_um</t>
  </si>
  <si>
    <t>v_mday</t>
  </si>
  <si>
    <t>IS_mM</t>
  </si>
  <si>
    <t>k_r_/s</t>
  </si>
  <si>
    <t>k_r_/PV</t>
  </si>
  <si>
    <t>fit_cost</t>
  </si>
  <si>
    <t>plot_group</t>
  </si>
  <si>
    <t>glass</t>
  </si>
  <si>
    <t>Tong.AX</t>
  </si>
  <si>
    <t>glass 8 m/d</t>
  </si>
  <si>
    <t>Tong.E</t>
  </si>
  <si>
    <t>glass 4 m/d</t>
  </si>
  <si>
    <t>Tong.BE</t>
  </si>
  <si>
    <t>Tong.BH</t>
  </si>
  <si>
    <t>Tong.BN</t>
  </si>
  <si>
    <t>Tong.O</t>
  </si>
  <si>
    <t>Tong.U</t>
  </si>
  <si>
    <t>Tong.BU</t>
  </si>
  <si>
    <t>Tong.CE</t>
  </si>
  <si>
    <t>Tong.AE</t>
  </si>
  <si>
    <t>Tong.AK</t>
  </si>
  <si>
    <t>Tong.AQ</t>
  </si>
  <si>
    <t>Li.L</t>
  </si>
  <si>
    <t>Li.O</t>
  </si>
  <si>
    <t>Li.R</t>
  </si>
  <si>
    <t>Tong.CI</t>
  </si>
  <si>
    <t>Tong.CO</t>
  </si>
  <si>
    <t>Tong.CV</t>
  </si>
  <si>
    <t>quartz</t>
  </si>
  <si>
    <t>Tong.B</t>
  </si>
  <si>
    <t>quartz Tong 0.5um</t>
  </si>
  <si>
    <t>Tong.H</t>
  </si>
  <si>
    <t>Tong.R</t>
  </si>
  <si>
    <t>Li.M</t>
  </si>
  <si>
    <t>quartz Li 1.1um</t>
  </si>
  <si>
    <t>Li.P</t>
  </si>
  <si>
    <t>Li.S</t>
  </si>
  <si>
    <t>Li.V</t>
  </si>
  <si>
    <t>Li.Y</t>
  </si>
  <si>
    <t>Li.AB</t>
  </si>
  <si>
    <t>Li.AE</t>
  </si>
  <si>
    <t>Li.AH</t>
  </si>
  <si>
    <t>Reference k_r constants (per-medium)</t>
  </si>
  <si>
    <t>Geomean of free fits. 'clean' excludes fit-floor hits (k_r&lt;=1.5e-6): ONE per medium under the corrected objective -- glass 0.5 um 50 mM (U) and quartz 1.1 um 20 mM (M). NOT 'the two 50 mM points' (the quartz floor-hit is at 20 mM). Old necessity-fit values: glass 5.58e-5, quartz 1.87e-5.</t>
  </si>
  <si>
    <t>line</t>
  </si>
  <si>
    <t>n</t>
  </si>
  <si>
    <t>note</t>
  </si>
  <si>
    <t>glass geomean (all)</t>
  </si>
  <si>
    <t>glass geomean (clean)</t>
  </si>
  <si>
    <t>excl floor-hit U (0.5 um 50 mM)</t>
  </si>
  <si>
    <t>quartz geomean (all)</t>
  </si>
  <si>
    <t>quartz geomean (clean)</t>
  </si>
  <si>
    <t>excl floor-hit M (1.1 um 20 mM)</t>
  </si>
  <si>
    <t>glass/quartz ratio (clean/clean)</t>
  </si>
  <si>
    <t>SYMMETRIC -- quote this</t>
  </si>
  <si>
    <t>glass/quartz ratio (clean/all)</t>
  </si>
  <si>
    <t>asymmetric; shown only for continuity with the pre-2026-08-24 sheets</t>
  </si>
  <si>
    <t>DLVO/Kramers single-colloid escape (20 mM glass) -- the REFUTED steep size dependence</t>
  </si>
  <si>
    <t>k_r_abs=(D/kinv^2)exp(-|Usec|); anchored to glass clean geomean at 1.1um. Size swing 0.1-&gt;2.0um = 584x (data flat).</t>
  </si>
  <si>
    <t>diam_um</t>
  </si>
  <si>
    <t>|U_sec|_kT</t>
  </si>
  <si>
    <t>k_r_abs_/s</t>
  </si>
  <si>
    <t>k_r_anchored_/s</t>
  </si>
  <si>
    <t>k_r NECESSITY: pin to one per-medium constant vs free per column (all sizes/velocities/IS)</t>
  </si>
  <si>
    <t>GLASS pin 3.616e-05/s: free 396.2 pinned 415.1 -&gt; +4.8%. QUARTZ pin 3.297e-05/s: free 380.9 pinned 384.1 -&gt; +0.9%. One per-medium constant suffices =&gt; k_r NOT size/IS/velocity driven.</t>
  </si>
  <si>
    <t>Fair constants (both media excl their floor-hit): glass 3.75e-05/s, quartz 1.82e-05/s (2.06x). NOTE: the pin used in the necessity test above is the ALL-column geomean (Fg, Fq), not the clean constant -- the necessity penalty must not be helped by dropping points.</t>
  </si>
  <si>
    <t>Largest pinning penalties: quartz Li.S (1.1 um, 20 mM) +125.9%; quartz Li.P (1.1 um, 20 mM) +96.8%; glass Li.L (1.1 um, 50 mM) +36.3%; quartz Li.Y (1.1 um, 6 mM) +22.9%; glass Tong.U (0.5 um, 50 mM) +19.2%. The 50 mM points are NOT the only sizeable ones under the corrected objective -- do not repeat that claim.</t>
  </si>
  <si>
    <t>k_r_free_/s</t>
  </si>
  <si>
    <t>cost_free</t>
  </si>
  <si>
    <t>cost_pinned</t>
  </si>
  <si>
    <t>delta_pct</t>
  </si>
  <si>
    <t>TOTAL</t>
  </si>
  <si>
    <t>Qtz</t>
  </si>
  <si>
    <t>Glass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</si>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</sst>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'k_r fitted (new)'!$E$5:$E$33</c:f>
              <c:numCache>
                <c:formatCode>General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50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50</c:v>
                </c:pt>
                <c:pt idx="13">
                  <c:v>20</c:v>
                </c:pt>
                <c:pt idx="14">
                  <c:v>6</c:v>
                </c:pt>
                <c:pt idx="15">
                  <c:v>20</c:v>
                </c:pt>
                <c:pt idx="16">
                  <c:v>20</c:v>
                </c:pt>
                <c:pt idx="17">
                  <c:v>50</c:v>
                </c:pt>
                <c:pt idx="18">
                  <c:v>20</c:v>
                </c:pt>
                <c:pt idx="19">
                  <c:v>50</c:v>
                </c:pt>
                <c:pt idx="20">
                  <c:v>50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3</c:v>
                </c:pt>
                <c:pt idx="28">
                  <c:v>3</c:v>
                </c:pt>
              </c:numCache>
            </c:numRef>
          </c:xVal>
          <c:yVal>
            <c:numRef>
              <c:f>'k_r fitted (new)'!$F$5:$F$33</c:f>
              <c:numCache>
                <c:formatCode>General</c:formatCode>
                <c:ptCount val="29"/>
                <c:pt idx="0">
                  <c:v>6.7139999999999998E-5</c:v>
                </c:pt>
                <c:pt idx="1">
                  <c:v>3.2230000000000001E-5</c:v>
                </c:pt>
                <c:pt idx="2">
                  <c:v>2.9830000000000001E-5</c:v>
                </c:pt>
                <c:pt idx="3">
                  <c:v>8.5610000000000002E-5</c:v>
                </c:pt>
                <c:pt idx="4">
                  <c:v>9.0409999999999997E-5</c:v>
                </c:pt>
                <c:pt idx="5">
                  <c:v>1.347E-5</c:v>
                </c:pt>
                <c:pt idx="6">
                  <c:v>9.9999999999999995E-7</c:v>
                </c:pt>
                <c:pt idx="7">
                  <c:v>5.6239999999999997E-5</c:v>
                </c:pt>
                <c:pt idx="8">
                  <c:v>9.3380000000000004E-5</c:v>
                </c:pt>
                <c:pt idx="9">
                  <c:v>6.3299999999999994E-5</c:v>
                </c:pt>
                <c:pt idx="10">
                  <c:v>9.9909999999999997E-5</c:v>
                </c:pt>
                <c:pt idx="11">
                  <c:v>6.3670000000000005E-5</c:v>
                </c:pt>
                <c:pt idx="12">
                  <c:v>3.8500000000000004E-6</c:v>
                </c:pt>
                <c:pt idx="13">
                  <c:v>1.7580000000000001E-5</c:v>
                </c:pt>
                <c:pt idx="14">
                  <c:v>3.4020000000000003E-5</c:v>
                </c:pt>
                <c:pt idx="15">
                  <c:v>8.5240000000000004E-5</c:v>
                </c:pt>
                <c:pt idx="16">
                  <c:v>1.2698000000000001E-4</c:v>
                </c:pt>
                <c:pt idx="17">
                  <c:v>3.1550000000000001E-5</c:v>
                </c:pt>
                <c:pt idx="18">
                  <c:v>4.5569999999999999E-5</c:v>
                </c:pt>
                <c:pt idx="19">
                  <c:v>2.2359999999999999E-5</c:v>
                </c:pt>
                <c:pt idx="20">
                  <c:v>5.3709999999999999E-5</c:v>
                </c:pt>
                <c:pt idx="21">
                  <c:v>5.6253900000000001E-3</c:v>
                </c:pt>
                <c:pt idx="22">
                  <c:v>5.49E-6</c:v>
                </c:pt>
                <c:pt idx="23">
                  <c:v>1.323E-5</c:v>
                </c:pt>
                <c:pt idx="24">
                  <c:v>2.6769999999999999E-5</c:v>
                </c:pt>
                <c:pt idx="25">
                  <c:v>7.5599999999999996E-6</c:v>
                </c:pt>
                <c:pt idx="26">
                  <c:v>2.476E-5</c:v>
                </c:pt>
                <c:pt idx="27">
                  <c:v>2.198E-5</c:v>
                </c:pt>
                <c:pt idx="28">
                  <c:v>2.0319999999999999E-5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D-452D-986B-E155A43E9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262351"/>
        <c:axId val="1735921423"/>
      </c:scatterChart>
      <c:valAx>
        <c:axId val="144226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21423"/>
        <c:crosses val="autoZero"/>
        <c:crossBetween val="midCat"/>
      </c:valAx>
      <c:valAx>
        <c:axId val="17359214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6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1047750</xdr:colOff>
      <xdr:row>16</xdr:row>
      <xdr:rowOff>120650</xdr:rowOff>
    </xdr:from>
    <xdr:to>
      <xdr:col>16</xdr:col>
      <xdr:colOff>234950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9F27E-E94C-6552-C36C-6F5B996A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selection activeCell="K5" sqref="K5"/>
    </sheetView>
  </sheetViews>
  <sheetFormatPr defaultRowHeight="14.5" x14ac:dyDescent="0.35"/>
  <cols>
    <col min="1" max="1" width="8" customWidth="1"/>
    <col min="2" max="2" width="9" customWidth="1"/>
    <col min="3" max="4" width="8" customWidth="1"/>
    <col min="5" max="5" width="7" customWidth="1"/>
    <col min="6" max="6" width="12" customWidth="1"/>
    <col min="7" max="7" width="10" customWidth="1"/>
    <col min="8" max="8" width="9" customWidth="1"/>
    <col min="9" max="9" width="16" customWidth="1"/>
  </cols>
  <sheetData>
    <row r="1" spans="1:9" x14ac:dyDescent="0.35">
      <c r="A1" s="1" t="s">
        <v>0</v>
      </c>
    </row>
    <row r="2" spans="1:9" x14ac:dyDescent="0.35">
      <c r="A2" s="2" t="s">
        <v>1</v>
      </c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t="s">
        <v>11</v>
      </c>
      <c r="B5" t="s">
        <v>12</v>
      </c>
      <c r="C5">
        <v>0.1</v>
      </c>
      <c r="D5">
        <v>8</v>
      </c>
      <c r="E5">
        <v>20</v>
      </c>
      <c r="F5">
        <v>6.7139999999999998E-5</v>
      </c>
      <c r="G5">
        <v>0.14499999999999999</v>
      </c>
      <c r="H5">
        <v>8.85</v>
      </c>
      <c r="I5" t="s">
        <v>13</v>
      </c>
    </row>
    <row r="6" spans="1:9" x14ac:dyDescent="0.35">
      <c r="A6" t="s">
        <v>11</v>
      </c>
      <c r="B6" t="s">
        <v>14</v>
      </c>
      <c r="C6">
        <v>0.2</v>
      </c>
      <c r="D6">
        <v>4</v>
      </c>
      <c r="E6">
        <v>20</v>
      </c>
      <c r="F6">
        <v>3.2230000000000001E-5</v>
      </c>
      <c r="G6">
        <v>0.13919999999999999</v>
      </c>
      <c r="H6">
        <v>12.6</v>
      </c>
      <c r="I6" t="s">
        <v>15</v>
      </c>
    </row>
    <row r="7" spans="1:9" x14ac:dyDescent="0.35">
      <c r="A7" t="s">
        <v>11</v>
      </c>
      <c r="B7" t="s">
        <v>16</v>
      </c>
      <c r="C7">
        <v>0.2</v>
      </c>
      <c r="D7">
        <v>8</v>
      </c>
      <c r="E7">
        <v>20</v>
      </c>
      <c r="F7">
        <v>2.9830000000000001E-5</v>
      </c>
      <c r="G7">
        <v>6.4399999999999999E-2</v>
      </c>
      <c r="H7">
        <v>11.85</v>
      </c>
      <c r="I7" t="s">
        <v>13</v>
      </c>
    </row>
    <row r="8" spans="1:9" x14ac:dyDescent="0.35">
      <c r="A8" t="s">
        <v>11</v>
      </c>
      <c r="B8" t="s">
        <v>17</v>
      </c>
      <c r="C8">
        <v>0.2</v>
      </c>
      <c r="D8">
        <v>8</v>
      </c>
      <c r="E8">
        <v>20</v>
      </c>
      <c r="F8">
        <v>8.5610000000000002E-5</v>
      </c>
      <c r="G8">
        <v>0.18490000000000001</v>
      </c>
      <c r="H8">
        <v>5.16</v>
      </c>
      <c r="I8" t="s">
        <v>13</v>
      </c>
    </row>
    <row r="9" spans="1:9" x14ac:dyDescent="0.35">
      <c r="A9" t="s">
        <v>11</v>
      </c>
      <c r="B9" t="s">
        <v>18</v>
      </c>
      <c r="C9">
        <v>0.2</v>
      </c>
      <c r="D9">
        <v>8</v>
      </c>
      <c r="E9">
        <v>20</v>
      </c>
      <c r="F9">
        <v>9.0409999999999997E-5</v>
      </c>
      <c r="G9">
        <v>0.1953</v>
      </c>
      <c r="H9">
        <v>18.46</v>
      </c>
      <c r="I9" t="s">
        <v>13</v>
      </c>
    </row>
    <row r="10" spans="1:9" x14ac:dyDescent="0.35">
      <c r="A10" t="s">
        <v>11</v>
      </c>
      <c r="B10" t="s">
        <v>19</v>
      </c>
      <c r="C10">
        <v>0.5</v>
      </c>
      <c r="D10">
        <v>4</v>
      </c>
      <c r="E10">
        <v>20</v>
      </c>
      <c r="F10">
        <v>1.347E-5</v>
      </c>
      <c r="G10">
        <v>5.8200000000000002E-2</v>
      </c>
      <c r="H10">
        <v>9.7200000000000006</v>
      </c>
      <c r="I10" t="s">
        <v>15</v>
      </c>
    </row>
    <row r="11" spans="1:9" x14ac:dyDescent="0.35">
      <c r="A11" t="s">
        <v>11</v>
      </c>
      <c r="B11" t="s">
        <v>20</v>
      </c>
      <c r="C11">
        <v>0.5</v>
      </c>
      <c r="D11">
        <v>4</v>
      </c>
      <c r="E11">
        <v>50</v>
      </c>
      <c r="F11">
        <v>9.9999999999999995E-7</v>
      </c>
      <c r="G11">
        <v>4.3E-3</v>
      </c>
      <c r="H11">
        <v>10.06</v>
      </c>
      <c r="I11" t="s">
        <v>15</v>
      </c>
    </row>
    <row r="12" spans="1:9" x14ac:dyDescent="0.35">
      <c r="A12" t="s">
        <v>11</v>
      </c>
      <c r="B12" t="s">
        <v>21</v>
      </c>
      <c r="C12">
        <v>0.5</v>
      </c>
      <c r="D12">
        <v>8</v>
      </c>
      <c r="E12">
        <v>20</v>
      </c>
      <c r="F12">
        <v>5.6239999999999997E-5</v>
      </c>
      <c r="G12">
        <v>0.1215</v>
      </c>
      <c r="H12">
        <v>8.1300000000000008</v>
      </c>
      <c r="I12" t="s">
        <v>13</v>
      </c>
    </row>
    <row r="13" spans="1:9" x14ac:dyDescent="0.35">
      <c r="A13" t="s">
        <v>11</v>
      </c>
      <c r="B13" t="s">
        <v>22</v>
      </c>
      <c r="C13">
        <v>1</v>
      </c>
      <c r="D13">
        <v>8</v>
      </c>
      <c r="E13">
        <v>20</v>
      </c>
      <c r="F13">
        <v>9.3380000000000004E-5</v>
      </c>
      <c r="G13">
        <v>0.20169999999999999</v>
      </c>
      <c r="H13">
        <v>48.72</v>
      </c>
      <c r="I13" t="s">
        <v>13</v>
      </c>
    </row>
    <row r="14" spans="1:9" x14ac:dyDescent="0.35">
      <c r="A14" t="s">
        <v>11</v>
      </c>
      <c r="B14" t="s">
        <v>23</v>
      </c>
      <c r="C14">
        <v>1.1000000000000001</v>
      </c>
      <c r="D14">
        <v>4</v>
      </c>
      <c r="E14">
        <v>20</v>
      </c>
      <c r="F14">
        <v>6.3299999999999994E-5</v>
      </c>
      <c r="G14">
        <v>0.27350000000000002</v>
      </c>
      <c r="H14">
        <v>74.010000000000005</v>
      </c>
      <c r="I14" t="s">
        <v>15</v>
      </c>
    </row>
    <row r="15" spans="1:9" x14ac:dyDescent="0.35">
      <c r="A15" t="s">
        <v>11</v>
      </c>
      <c r="B15" t="s">
        <v>24</v>
      </c>
      <c r="C15">
        <v>1.1000000000000001</v>
      </c>
      <c r="D15">
        <v>4</v>
      </c>
      <c r="E15">
        <v>20</v>
      </c>
      <c r="F15">
        <v>9.9909999999999997E-5</v>
      </c>
      <c r="G15">
        <v>0.43159999999999998</v>
      </c>
      <c r="H15">
        <v>33.450000000000003</v>
      </c>
      <c r="I15" t="s">
        <v>15</v>
      </c>
    </row>
    <row r="16" spans="1:9" x14ac:dyDescent="0.35">
      <c r="A16" t="s">
        <v>11</v>
      </c>
      <c r="B16" t="s">
        <v>25</v>
      </c>
      <c r="C16">
        <v>1.1000000000000001</v>
      </c>
      <c r="D16">
        <v>4</v>
      </c>
      <c r="E16">
        <v>20</v>
      </c>
      <c r="F16">
        <v>6.3670000000000005E-5</v>
      </c>
      <c r="G16">
        <v>0.27510000000000001</v>
      </c>
      <c r="H16">
        <v>55.24</v>
      </c>
      <c r="I16" t="s">
        <v>15</v>
      </c>
    </row>
    <row r="17" spans="1:9" x14ac:dyDescent="0.35">
      <c r="A17" t="s">
        <v>11</v>
      </c>
      <c r="B17" t="s">
        <v>26</v>
      </c>
      <c r="C17">
        <v>1.1000000000000001</v>
      </c>
      <c r="D17">
        <v>4</v>
      </c>
      <c r="E17">
        <v>50</v>
      </c>
      <c r="F17">
        <v>3.8500000000000004E-6</v>
      </c>
      <c r="G17">
        <v>1.66E-2</v>
      </c>
      <c r="H17">
        <v>3.94</v>
      </c>
      <c r="I17" t="s">
        <v>15</v>
      </c>
    </row>
    <row r="18" spans="1:9" x14ac:dyDescent="0.35">
      <c r="A18" t="s">
        <v>11</v>
      </c>
      <c r="B18" t="s">
        <v>27</v>
      </c>
      <c r="C18">
        <v>1.1000000000000001</v>
      </c>
      <c r="D18">
        <v>4</v>
      </c>
      <c r="E18">
        <v>20</v>
      </c>
      <c r="F18">
        <v>1.7580000000000001E-5</v>
      </c>
      <c r="G18">
        <v>7.5999999999999998E-2</v>
      </c>
      <c r="H18">
        <v>12.49</v>
      </c>
      <c r="I18" t="s">
        <v>15</v>
      </c>
    </row>
    <row r="19" spans="1:9" x14ac:dyDescent="0.35">
      <c r="A19" t="s">
        <v>11</v>
      </c>
      <c r="B19" t="s">
        <v>28</v>
      </c>
      <c r="C19">
        <v>1.1000000000000001</v>
      </c>
      <c r="D19">
        <v>4</v>
      </c>
      <c r="E19">
        <v>6</v>
      </c>
      <c r="F19">
        <v>3.4020000000000003E-5</v>
      </c>
      <c r="G19">
        <v>0.14699999999999999</v>
      </c>
      <c r="H19">
        <v>4.83</v>
      </c>
      <c r="I19" t="s">
        <v>15</v>
      </c>
    </row>
    <row r="20" spans="1:9" x14ac:dyDescent="0.35">
      <c r="A20" t="s">
        <v>11</v>
      </c>
      <c r="B20" t="s">
        <v>29</v>
      </c>
      <c r="C20">
        <v>2</v>
      </c>
      <c r="D20">
        <v>8</v>
      </c>
      <c r="E20">
        <v>20</v>
      </c>
      <c r="F20">
        <v>8.5240000000000004E-5</v>
      </c>
      <c r="G20">
        <v>0.18410000000000001</v>
      </c>
      <c r="H20">
        <v>8.2200000000000006</v>
      </c>
      <c r="I20" t="s">
        <v>13</v>
      </c>
    </row>
    <row r="21" spans="1:9" x14ac:dyDescent="0.35">
      <c r="A21" t="s">
        <v>11</v>
      </c>
      <c r="B21" t="s">
        <v>30</v>
      </c>
      <c r="C21">
        <v>2</v>
      </c>
      <c r="D21">
        <v>8</v>
      </c>
      <c r="E21">
        <v>20</v>
      </c>
      <c r="F21">
        <v>1.2698000000000001E-4</v>
      </c>
      <c r="G21">
        <v>0.27429999999999999</v>
      </c>
      <c r="H21">
        <v>40.869999999999997</v>
      </c>
      <c r="I21" t="s">
        <v>13</v>
      </c>
    </row>
    <row r="22" spans="1:9" x14ac:dyDescent="0.35">
      <c r="A22" t="s">
        <v>11</v>
      </c>
      <c r="B22" t="s">
        <v>31</v>
      </c>
      <c r="C22">
        <v>2</v>
      </c>
      <c r="D22">
        <v>8</v>
      </c>
      <c r="E22">
        <v>50</v>
      </c>
      <c r="F22">
        <v>3.1550000000000001E-5</v>
      </c>
      <c r="G22">
        <v>6.8199999999999997E-2</v>
      </c>
      <c r="H22">
        <v>29.63</v>
      </c>
      <c r="I22" t="s">
        <v>13</v>
      </c>
    </row>
    <row r="23" spans="1:9" x14ac:dyDescent="0.35">
      <c r="A23" t="s">
        <v>32</v>
      </c>
      <c r="B23" t="s">
        <v>33</v>
      </c>
      <c r="C23">
        <v>0.5</v>
      </c>
      <c r="D23">
        <v>4</v>
      </c>
      <c r="E23">
        <v>20</v>
      </c>
      <c r="F23">
        <v>4.5569999999999999E-5</v>
      </c>
      <c r="G23">
        <v>0.19689999999999999</v>
      </c>
      <c r="H23">
        <v>3.98</v>
      </c>
      <c r="I23" t="s">
        <v>34</v>
      </c>
    </row>
    <row r="24" spans="1:9" x14ac:dyDescent="0.35">
      <c r="A24" t="s">
        <v>32</v>
      </c>
      <c r="B24" t="s">
        <v>35</v>
      </c>
      <c r="C24">
        <v>0.5</v>
      </c>
      <c r="D24">
        <v>4</v>
      </c>
      <c r="E24">
        <v>50</v>
      </c>
      <c r="F24">
        <v>2.2359999999999999E-5</v>
      </c>
      <c r="G24">
        <v>9.6600000000000005E-2</v>
      </c>
      <c r="H24">
        <v>30.13</v>
      </c>
      <c r="I24" t="s">
        <v>34</v>
      </c>
    </row>
    <row r="25" spans="1:9" x14ac:dyDescent="0.35">
      <c r="A25" t="s">
        <v>32</v>
      </c>
      <c r="B25" t="s">
        <v>36</v>
      </c>
      <c r="C25">
        <v>0.5</v>
      </c>
      <c r="D25">
        <v>8</v>
      </c>
      <c r="E25">
        <v>50</v>
      </c>
      <c r="F25">
        <v>5.3709999999999999E-5</v>
      </c>
      <c r="G25">
        <v>0.11600000000000001</v>
      </c>
      <c r="H25">
        <v>21.01</v>
      </c>
      <c r="I25" t="s">
        <v>34</v>
      </c>
    </row>
    <row r="26" spans="1:9" x14ac:dyDescent="0.35">
      <c r="A26" t="s">
        <v>32</v>
      </c>
      <c r="B26" t="s">
        <v>37</v>
      </c>
      <c r="C26">
        <v>1.1000000000000001</v>
      </c>
      <c r="D26">
        <v>4</v>
      </c>
      <c r="E26">
        <v>20</v>
      </c>
      <c r="F26">
        <v>5.6253900000000001E-3</v>
      </c>
      <c r="G26">
        <v>24.3017</v>
      </c>
      <c r="H26">
        <v>0.72</v>
      </c>
      <c r="I26" t="s">
        <v>38</v>
      </c>
    </row>
    <row r="27" spans="1:9" x14ac:dyDescent="0.35">
      <c r="A27" t="s">
        <v>32</v>
      </c>
      <c r="B27" t="s">
        <v>39</v>
      </c>
      <c r="C27">
        <v>1.1000000000000001</v>
      </c>
      <c r="D27">
        <v>4</v>
      </c>
      <c r="E27">
        <v>20</v>
      </c>
      <c r="F27">
        <v>5.49E-6</v>
      </c>
      <c r="G27">
        <v>2.3699999999999999E-2</v>
      </c>
      <c r="H27">
        <v>1.1399999999999999</v>
      </c>
      <c r="I27" t="s">
        <v>38</v>
      </c>
    </row>
    <row r="28" spans="1:9" x14ac:dyDescent="0.35">
      <c r="A28" t="s">
        <v>32</v>
      </c>
      <c r="B28" t="s">
        <v>40</v>
      </c>
      <c r="C28">
        <v>1.1000000000000001</v>
      </c>
      <c r="D28">
        <v>4</v>
      </c>
      <c r="E28">
        <v>20</v>
      </c>
      <c r="F28">
        <v>1.323E-5</v>
      </c>
      <c r="G28">
        <v>5.7099999999999998E-2</v>
      </c>
      <c r="H28">
        <v>0.4</v>
      </c>
      <c r="I28" t="s">
        <v>38</v>
      </c>
    </row>
    <row r="29" spans="1:9" x14ac:dyDescent="0.35">
      <c r="A29" t="s">
        <v>32</v>
      </c>
      <c r="B29" t="s">
        <v>41</v>
      </c>
      <c r="C29">
        <v>1.1000000000000001</v>
      </c>
      <c r="D29">
        <v>4</v>
      </c>
      <c r="E29">
        <v>6</v>
      </c>
      <c r="F29">
        <v>2.6769999999999999E-5</v>
      </c>
      <c r="G29">
        <v>0.1157</v>
      </c>
      <c r="H29">
        <v>2.72</v>
      </c>
      <c r="I29" t="s">
        <v>38</v>
      </c>
    </row>
    <row r="30" spans="1:9" x14ac:dyDescent="0.35">
      <c r="A30" t="s">
        <v>32</v>
      </c>
      <c r="B30" t="s">
        <v>42</v>
      </c>
      <c r="C30">
        <v>1.1000000000000001</v>
      </c>
      <c r="D30">
        <v>4</v>
      </c>
      <c r="E30">
        <v>6</v>
      </c>
      <c r="F30">
        <v>7.5599999999999996E-6</v>
      </c>
      <c r="G30">
        <v>3.2599999999999997E-2</v>
      </c>
      <c r="H30">
        <v>3.72</v>
      </c>
      <c r="I30" t="s">
        <v>38</v>
      </c>
    </row>
    <row r="31" spans="1:9" x14ac:dyDescent="0.35">
      <c r="A31" t="s">
        <v>32</v>
      </c>
      <c r="B31" t="s">
        <v>43</v>
      </c>
      <c r="C31">
        <v>1.1000000000000001</v>
      </c>
      <c r="D31">
        <v>4</v>
      </c>
      <c r="E31">
        <v>6</v>
      </c>
      <c r="F31">
        <v>2.476E-5</v>
      </c>
      <c r="G31">
        <v>0.107</v>
      </c>
      <c r="H31">
        <v>54.61</v>
      </c>
      <c r="I31" t="s">
        <v>38</v>
      </c>
    </row>
    <row r="32" spans="1:9" x14ac:dyDescent="0.35">
      <c r="A32" t="s">
        <v>32</v>
      </c>
      <c r="B32" t="s">
        <v>44</v>
      </c>
      <c r="C32">
        <v>1.1000000000000001</v>
      </c>
      <c r="D32">
        <v>4</v>
      </c>
      <c r="E32">
        <v>3</v>
      </c>
      <c r="F32">
        <v>2.198E-5</v>
      </c>
      <c r="G32">
        <v>9.4899999999999998E-2</v>
      </c>
      <c r="H32">
        <v>48.11</v>
      </c>
      <c r="I32" t="s">
        <v>38</v>
      </c>
    </row>
    <row r="33" spans="1:9" x14ac:dyDescent="0.35">
      <c r="A33" t="s">
        <v>32</v>
      </c>
      <c r="B33" t="s">
        <v>45</v>
      </c>
      <c r="C33">
        <v>1.1000000000000001</v>
      </c>
      <c r="D33">
        <v>4</v>
      </c>
      <c r="E33">
        <v>3</v>
      </c>
      <c r="F33">
        <v>2.0319999999999999E-5</v>
      </c>
      <c r="G33">
        <v>8.7800000000000003E-2</v>
      </c>
      <c r="H33">
        <v>214.34</v>
      </c>
      <c r="I33" t="s">
        <v>38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4" sqref="D14"/>
    </sheetView>
  </sheetViews>
  <sheetFormatPr defaultRowHeight="14.5" x14ac:dyDescent="0.35"/>
  <cols>
    <col min="1" max="1" width="24" customWidth="1"/>
    <col min="2" max="2" width="12" customWidth="1"/>
    <col min="3" max="3" width="6" customWidth="1"/>
    <col min="4" max="4" width="28" customWidth="1"/>
  </cols>
  <sheetData>
    <row r="1" spans="1:4" x14ac:dyDescent="0.35">
      <c r="A1" s="1" t="s">
        <v>46</v>
      </c>
    </row>
    <row r="2" spans="1:4" x14ac:dyDescent="0.35">
      <c r="A2" s="2" t="s">
        <v>47</v>
      </c>
    </row>
    <row r="4" spans="1:4" x14ac:dyDescent="0.35">
      <c r="A4" s="1" t="s">
        <v>48</v>
      </c>
      <c r="B4" s="1" t="s">
        <v>7</v>
      </c>
      <c r="C4" s="1" t="s">
        <v>49</v>
      </c>
      <c r="D4" s="1" t="s">
        <v>50</v>
      </c>
    </row>
    <row r="5" spans="1:4" x14ac:dyDescent="0.35">
      <c r="A5" t="s">
        <v>51</v>
      </c>
      <c r="B5" s="3">
        <v>3.6159999999999999E-5</v>
      </c>
      <c r="C5">
        <v>18</v>
      </c>
    </row>
    <row r="6" spans="1:4" x14ac:dyDescent="0.35">
      <c r="A6" t="s">
        <v>52</v>
      </c>
      <c r="B6" s="3">
        <v>3.7490000000000002E-5</v>
      </c>
      <c r="C6">
        <v>17</v>
      </c>
      <c r="D6" t="s">
        <v>53</v>
      </c>
    </row>
    <row r="7" spans="1:4" x14ac:dyDescent="0.35">
      <c r="A7" t="s">
        <v>54</v>
      </c>
      <c r="B7" s="3">
        <v>3.2969999999999998E-5</v>
      </c>
      <c r="C7">
        <v>11</v>
      </c>
    </row>
    <row r="8" spans="1:4" x14ac:dyDescent="0.35">
      <c r="A8" t="s">
        <v>55</v>
      </c>
      <c r="B8" s="3">
        <v>1.8159999999999999E-5</v>
      </c>
      <c r="C8">
        <v>11</v>
      </c>
      <c r="D8" t="s">
        <v>56</v>
      </c>
    </row>
    <row r="9" spans="1:4" x14ac:dyDescent="0.35">
      <c r="A9" t="s">
        <v>57</v>
      </c>
      <c r="B9">
        <v>2.06</v>
      </c>
      <c r="D9" t="s">
        <v>58</v>
      </c>
    </row>
    <row r="10" spans="1:4" x14ac:dyDescent="0.35">
      <c r="A10" t="s">
        <v>59</v>
      </c>
      <c r="B10">
        <v>1.1399999999999999</v>
      </c>
      <c r="D10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/>
  </sheetViews>
  <sheetFormatPr defaultRowHeight="14.5" x14ac:dyDescent="0.35"/>
  <cols>
    <col min="1" max="1" width="10" customWidth="1"/>
    <col min="2" max="2" width="12" customWidth="1"/>
    <col min="3" max="3" width="14" customWidth="1"/>
    <col min="4" max="4" width="16" customWidth="1"/>
  </cols>
  <sheetData>
    <row r="1" spans="1:4" x14ac:dyDescent="0.35">
      <c r="A1" s="1" t="s">
        <v>61</v>
      </c>
    </row>
    <row r="2" spans="1:4" x14ac:dyDescent="0.35">
      <c r="A2" s="2" t="s">
        <v>62</v>
      </c>
    </row>
    <row r="4" spans="1:4" x14ac:dyDescent="0.35">
      <c r="A4" s="1" t="s">
        <v>63</v>
      </c>
      <c r="B4" s="1" t="s">
        <v>64</v>
      </c>
      <c r="C4" s="1" t="s">
        <v>65</v>
      </c>
      <c r="D4" s="1" t="s">
        <v>66</v>
      </c>
    </row>
    <row r="5" spans="1:4" x14ac:dyDescent="0.35">
      <c r="A5">
        <v>0.1</v>
      </c>
      <c r="B5">
        <v>0.17799999999999999</v>
      </c>
      <c r="C5">
        <v>775340.23101094586</v>
      </c>
      <c r="D5">
        <v>2.4358836695737968E-3</v>
      </c>
    </row>
    <row r="6" spans="1:4" x14ac:dyDescent="0.35">
      <c r="A6">
        <v>0.108</v>
      </c>
      <c r="B6">
        <v>0.192</v>
      </c>
      <c r="C6">
        <v>707903.77473604109</v>
      </c>
      <c r="D6">
        <v>2.2240187927057621E-3</v>
      </c>
    </row>
    <row r="7" spans="1:4" x14ac:dyDescent="0.35">
      <c r="A7">
        <v>0.11700000000000001</v>
      </c>
      <c r="B7">
        <v>0.20699999999999999</v>
      </c>
      <c r="C7">
        <v>645601.37895212474</v>
      </c>
      <c r="D7">
        <v>2.0282835755772921E-3</v>
      </c>
    </row>
    <row r="8" spans="1:4" x14ac:dyDescent="0.35">
      <c r="A8">
        <v>0.126</v>
      </c>
      <c r="B8">
        <v>0.224</v>
      </c>
      <c r="C8">
        <v>588062.82546028204</v>
      </c>
      <c r="D8">
        <v>1.847514904978411E-3</v>
      </c>
    </row>
    <row r="9" spans="1:4" x14ac:dyDescent="0.35">
      <c r="A9">
        <v>0.13600000000000001</v>
      </c>
      <c r="B9">
        <v>0.24099999999999999</v>
      </c>
      <c r="C9">
        <v>534945.65917953255</v>
      </c>
      <c r="D9">
        <v>1.680636890988851E-3</v>
      </c>
    </row>
    <row r="10" spans="1:4" x14ac:dyDescent="0.35">
      <c r="A10">
        <v>0.14699999999999999</v>
      </c>
      <c r="B10">
        <v>0.26100000000000001</v>
      </c>
      <c r="C10">
        <v>485933.11765158753</v>
      </c>
      <c r="D10">
        <v>1.52665436211045E-3</v>
      </c>
    </row>
    <row r="11" spans="1:4" x14ac:dyDescent="0.35">
      <c r="A11">
        <v>0.159</v>
      </c>
      <c r="B11">
        <v>0.28199999999999997</v>
      </c>
      <c r="C11">
        <v>440732.20655658707</v>
      </c>
      <c r="D11">
        <v>1.3846468191217329E-3</v>
      </c>
    </row>
    <row r="12" spans="1:4" x14ac:dyDescent="0.35">
      <c r="A12">
        <v>0.17100000000000001</v>
      </c>
      <c r="B12">
        <v>0.30399999999999999</v>
      </c>
      <c r="C12">
        <v>399071.90947422391</v>
      </c>
      <c r="D12">
        <v>1.253762810690744E-3</v>
      </c>
    </row>
    <row r="13" spans="1:4" x14ac:dyDescent="0.35">
      <c r="A13">
        <v>0.185</v>
      </c>
      <c r="B13">
        <v>0.32800000000000001</v>
      </c>
      <c r="C13">
        <v>360701.52095554752</v>
      </c>
      <c r="D13">
        <v>1.133214696392615E-3</v>
      </c>
    </row>
    <row r="14" spans="1:4" x14ac:dyDescent="0.35">
      <c r="A14">
        <v>0.2</v>
      </c>
      <c r="B14">
        <v>0.35499999999999998</v>
      </c>
      <c r="C14">
        <v>325389.09276079858</v>
      </c>
      <c r="D14">
        <v>1.022273765260445E-3</v>
      </c>
    </row>
    <row r="15" spans="1:4" x14ac:dyDescent="0.35">
      <c r="A15">
        <v>0.216</v>
      </c>
      <c r="B15">
        <v>0.38300000000000001</v>
      </c>
      <c r="C15">
        <v>292919.98387802421</v>
      </c>
      <c r="D15">
        <v>9.2026568038390067E-4</v>
      </c>
    </row>
    <row r="16" spans="1:4" x14ac:dyDescent="0.35">
      <c r="A16">
        <v>0.23300000000000001</v>
      </c>
      <c r="B16">
        <v>0.41299999999999998</v>
      </c>
      <c r="C16">
        <v>263095.50567663723</v>
      </c>
      <c r="D16">
        <v>8.2656622239293202E-4</v>
      </c>
    </row>
    <row r="17" spans="1:4" x14ac:dyDescent="0.35">
      <c r="A17">
        <v>0.251</v>
      </c>
      <c r="B17">
        <v>0.44600000000000001</v>
      </c>
      <c r="C17">
        <v>235731.65428045689</v>
      </c>
      <c r="D17">
        <v>7.4059730695862026E-4</v>
      </c>
    </row>
    <row r="18" spans="1:4" x14ac:dyDescent="0.35">
      <c r="A18">
        <v>0.27100000000000002</v>
      </c>
      <c r="B18">
        <v>0.48199999999999998</v>
      </c>
      <c r="C18">
        <v>210657.922977304</v>
      </c>
      <c r="D18">
        <v>6.6182325374459421E-4</v>
      </c>
    </row>
    <row r="19" spans="1:4" x14ac:dyDescent="0.35">
      <c r="A19">
        <v>0.29299999999999998</v>
      </c>
      <c r="B19">
        <v>0.52100000000000002</v>
      </c>
      <c r="C19">
        <v>187716.18822793139</v>
      </c>
      <c r="D19">
        <v>5.8974728658521504E-4</v>
      </c>
    </row>
    <row r="20" spans="1:4" x14ac:dyDescent="0.35">
      <c r="A20">
        <v>0.317</v>
      </c>
      <c r="B20">
        <v>0.56200000000000006</v>
      </c>
      <c r="C20">
        <v>166759.6636064754</v>
      </c>
      <c r="D20">
        <v>5.2390824708398046E-4</v>
      </c>
    </row>
    <row r="21" spans="1:4" x14ac:dyDescent="0.35">
      <c r="A21">
        <v>0.34200000000000003</v>
      </c>
      <c r="B21">
        <v>0.60699999999999998</v>
      </c>
      <c r="C21">
        <v>147651.91680695221</v>
      </c>
      <c r="D21">
        <v>4.6387750634630242E-4</v>
      </c>
    </row>
    <row r="22" spans="1:4" x14ac:dyDescent="0.35">
      <c r="A22">
        <v>0.36899999999999999</v>
      </c>
      <c r="B22">
        <v>0.65500000000000003</v>
      </c>
      <c r="C22">
        <v>130265.9456928085</v>
      </c>
      <c r="D22">
        <v>4.0925606220763692E-4</v>
      </c>
    </row>
    <row r="23" spans="1:4" x14ac:dyDescent="0.35">
      <c r="A23">
        <v>0.39900000000000002</v>
      </c>
      <c r="B23">
        <v>0.70799999999999996</v>
      </c>
      <c r="C23">
        <v>114483.3102531331</v>
      </c>
      <c r="D23">
        <v>3.5967181210337651E-4</v>
      </c>
    </row>
    <row r="24" spans="1:4" x14ac:dyDescent="0.35">
      <c r="A24">
        <v>0.43</v>
      </c>
      <c r="B24">
        <v>0.76400000000000001</v>
      </c>
      <c r="C24">
        <v>100193.3182592434</v>
      </c>
      <c r="D24">
        <v>3.1477699464901832E-4</v>
      </c>
    </row>
    <row r="25" spans="1:4" x14ac:dyDescent="0.35">
      <c r="A25">
        <v>0.46500000000000002</v>
      </c>
      <c r="B25">
        <v>0.82499999999999996</v>
      </c>
      <c r="C25">
        <v>87292.263382166318</v>
      </c>
      <c r="D25">
        <v>2.7424579603654262E-4</v>
      </c>
    </row>
    <row r="26" spans="1:4" x14ac:dyDescent="0.35">
      <c r="A26">
        <v>0.502</v>
      </c>
      <c r="B26">
        <v>0.89100000000000001</v>
      </c>
      <c r="C26">
        <v>75682.715520215395</v>
      </c>
      <c r="D26">
        <v>2.3777212045906259E-4</v>
      </c>
    </row>
    <row r="27" spans="1:4" x14ac:dyDescent="0.35">
      <c r="A27">
        <v>0.54200000000000004</v>
      </c>
      <c r="B27">
        <v>0.96199999999999997</v>
      </c>
      <c r="C27">
        <v>65272.86407174098</v>
      </c>
      <c r="D27">
        <v>2.0506752687314049E-4</v>
      </c>
    </row>
    <row r="28" spans="1:4" x14ac:dyDescent="0.35">
      <c r="A28">
        <v>0.58499999999999996</v>
      </c>
      <c r="B28">
        <v>1.0389999999999999</v>
      </c>
      <c r="C28">
        <v>55975.915834902153</v>
      </c>
      <c r="D28">
        <v>1.7585933738262379E-4</v>
      </c>
    </row>
    <row r="29" spans="1:4" x14ac:dyDescent="0.35">
      <c r="A29">
        <v>0.63200000000000001</v>
      </c>
      <c r="B29">
        <v>1.1220000000000001</v>
      </c>
      <c r="C29">
        <v>47709.550074756437</v>
      </c>
      <c r="D29">
        <v>1.498889252248435E-4</v>
      </c>
    </row>
    <row r="30" spans="1:4" x14ac:dyDescent="0.35">
      <c r="A30">
        <v>0.68200000000000005</v>
      </c>
      <c r="B30">
        <v>1.212</v>
      </c>
      <c r="C30">
        <v>40395.434005360352</v>
      </c>
      <c r="D30">
        <v>1.2691019256243669E-4</v>
      </c>
    </row>
    <row r="31" spans="1:4" x14ac:dyDescent="0.35">
      <c r="A31">
        <v>0.73699999999999999</v>
      </c>
      <c r="B31">
        <v>1.3089999999999999</v>
      </c>
      <c r="C31">
        <v>33958.802415452461</v>
      </c>
      <c r="D31">
        <v>1.066882497948388E-4</v>
      </c>
    </row>
    <row r="32" spans="1:4" x14ac:dyDescent="0.35">
      <c r="A32">
        <v>0.79600000000000004</v>
      </c>
      <c r="B32">
        <v>1.413</v>
      </c>
      <c r="C32">
        <v>28328.10533491987</v>
      </c>
      <c r="D32">
        <v>8.8998308633263075E-5</v>
      </c>
    </row>
    <row r="33" spans="1:4" x14ac:dyDescent="0.35">
      <c r="A33">
        <v>0.85899999999999999</v>
      </c>
      <c r="B33">
        <v>1.526</v>
      </c>
      <c r="C33">
        <v>23434.727404607529</v>
      </c>
      <c r="D33">
        <v>7.3624800445820193E-5</v>
      </c>
    </row>
    <row r="34" spans="1:4" x14ac:dyDescent="0.35">
      <c r="A34">
        <v>0.92800000000000005</v>
      </c>
      <c r="B34">
        <v>1.6479999999999999</v>
      </c>
      <c r="C34">
        <v>19212.781885616241</v>
      </c>
      <c r="D34">
        <v>6.0360729097256342E-5</v>
      </c>
    </row>
    <row r="35" spans="1:4" x14ac:dyDescent="0.35">
      <c r="A35">
        <v>1.002</v>
      </c>
      <c r="B35">
        <v>1.7789999999999999</v>
      </c>
      <c r="C35">
        <v>15598.98095115045</v>
      </c>
      <c r="D35">
        <v>4.9007263445308937E-5</v>
      </c>
    </row>
    <row r="36" spans="1:4" x14ac:dyDescent="0.35">
      <c r="A36">
        <v>1.0820000000000001</v>
      </c>
      <c r="B36">
        <v>1.921</v>
      </c>
      <c r="C36">
        <v>12532.581997144909</v>
      </c>
      <c r="D36">
        <v>3.9373568664991497E-5</v>
      </c>
    </row>
    <row r="37" spans="1:4" x14ac:dyDescent="0.35">
      <c r="A37">
        <v>1.1679999999999999</v>
      </c>
      <c r="B37">
        <v>2.0750000000000002</v>
      </c>
      <c r="C37">
        <v>9955.4071847705236</v>
      </c>
      <c r="D37">
        <v>3.1276867645215498E-5</v>
      </c>
    </row>
    <row r="38" spans="1:4" x14ac:dyDescent="0.35">
      <c r="A38">
        <v>1.2609999999999999</v>
      </c>
      <c r="B38">
        <v>2.2400000000000002</v>
      </c>
      <c r="C38">
        <v>7811.9303481758261</v>
      </c>
      <c r="D38">
        <v>2.4542714026535268E-5</v>
      </c>
    </row>
    <row r="39" spans="1:4" x14ac:dyDescent="0.35">
      <c r="A39">
        <v>1.3620000000000001</v>
      </c>
      <c r="B39">
        <v>2.419</v>
      </c>
      <c r="C39">
        <v>6049.4219025387738</v>
      </c>
      <c r="D39">
        <v>1.9005447458263281E-5</v>
      </c>
    </row>
    <row r="40" spans="1:4" x14ac:dyDescent="0.35">
      <c r="A40">
        <v>1.4710000000000001</v>
      </c>
      <c r="B40">
        <v>2.6120000000000001</v>
      </c>
      <c r="C40">
        <v>4618.1386982938211</v>
      </c>
      <c r="D40">
        <v>1.450879006282585E-5</v>
      </c>
    </row>
    <row r="41" spans="1:4" x14ac:dyDescent="0.35">
      <c r="A41">
        <v>1.5880000000000001</v>
      </c>
      <c r="B41">
        <v>2.8210000000000002</v>
      </c>
      <c r="C41">
        <v>3471.5422061028471</v>
      </c>
      <c r="D41">
        <v>1.090653190671688E-5</v>
      </c>
    </row>
    <row r="42" spans="1:4" x14ac:dyDescent="0.35">
      <c r="A42">
        <v>1.7150000000000001</v>
      </c>
      <c r="B42">
        <v>3.0459999999999998</v>
      </c>
      <c r="C42">
        <v>2566.5253814418911</v>
      </c>
      <c r="D42">
        <v>8.0632437401699885E-6</v>
      </c>
    </row>
    <row r="43" spans="1:4" x14ac:dyDescent="0.35">
      <c r="A43">
        <v>1.8520000000000001</v>
      </c>
      <c r="B43">
        <v>3.2890000000000001</v>
      </c>
      <c r="C43">
        <v>1863.6264936546111</v>
      </c>
      <c r="D43">
        <v>5.8549487831417002E-6</v>
      </c>
    </row>
    <row r="44" spans="1:4" x14ac:dyDescent="0.35">
      <c r="A44">
        <v>2</v>
      </c>
      <c r="B44">
        <v>3.552</v>
      </c>
      <c r="C44">
        <v>1327.207555974652</v>
      </c>
      <c r="D44">
        <v>4.169683298283492E-6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sqref="A1:A4"/>
    </sheetView>
  </sheetViews>
  <sheetFormatPr defaultRowHeight="14.5" x14ac:dyDescent="0.35"/>
  <cols>
    <col min="1" max="2" width="10" customWidth="1"/>
    <col min="3" max="4" width="8" customWidth="1"/>
    <col min="5" max="5" width="7" customWidth="1"/>
    <col min="6" max="6" width="12" customWidth="1"/>
    <col min="7" max="7" width="10" customWidth="1"/>
    <col min="8" max="8" width="11" customWidth="1"/>
    <col min="9" max="9" width="9" customWidth="1"/>
  </cols>
  <sheetData>
    <row r="1" spans="1:9" x14ac:dyDescent="0.35">
      <c r="A1" s="1" t="s">
        <v>67</v>
      </c>
      <c r="B1" s="1"/>
    </row>
    <row r="2" spans="1:9" x14ac:dyDescent="0.35">
      <c r="A2" s="2" t="s">
        <v>68</v>
      </c>
      <c r="B2" s="2"/>
    </row>
    <row r="3" spans="1:9" x14ac:dyDescent="0.35">
      <c r="A3" s="2" t="s">
        <v>69</v>
      </c>
      <c r="B3" s="2"/>
    </row>
    <row r="4" spans="1:9" x14ac:dyDescent="0.35">
      <c r="A4" s="2" t="s">
        <v>70</v>
      </c>
      <c r="B4" s="2"/>
    </row>
    <row r="5" spans="1:9" x14ac:dyDescent="0.35">
      <c r="A5" s="1"/>
      <c r="B5" s="1"/>
    </row>
    <row r="6" spans="1:9" x14ac:dyDescent="0.35">
      <c r="A6" s="1" t="s">
        <v>3</v>
      </c>
      <c r="B6" s="1" t="s">
        <v>78</v>
      </c>
      <c r="C6" s="1" t="s">
        <v>4</v>
      </c>
      <c r="D6" s="1" t="s">
        <v>5</v>
      </c>
      <c r="E6" s="1" t="s">
        <v>6</v>
      </c>
      <c r="F6" s="1" t="s">
        <v>71</v>
      </c>
      <c r="G6" s="1" t="s">
        <v>72</v>
      </c>
      <c r="H6" s="1" t="s">
        <v>73</v>
      </c>
      <c r="I6" s="1" t="s">
        <v>74</v>
      </c>
    </row>
    <row r="7" spans="1:9" x14ac:dyDescent="0.35">
      <c r="A7" t="s">
        <v>12</v>
      </c>
      <c r="B7" t="s">
        <v>77</v>
      </c>
      <c r="C7">
        <v>0.1</v>
      </c>
      <c r="D7">
        <v>8</v>
      </c>
      <c r="E7">
        <v>20</v>
      </c>
      <c r="F7">
        <v>6.7139999999999998E-5</v>
      </c>
      <c r="G7">
        <v>8.85</v>
      </c>
      <c r="H7">
        <v>9.16</v>
      </c>
      <c r="I7">
        <v>3.5</v>
      </c>
    </row>
    <row r="8" spans="1:9" x14ac:dyDescent="0.35">
      <c r="A8" t="s">
        <v>14</v>
      </c>
      <c r="B8" t="s">
        <v>77</v>
      </c>
      <c r="C8">
        <v>0.2</v>
      </c>
      <c r="D8">
        <v>4</v>
      </c>
      <c r="E8">
        <v>20</v>
      </c>
      <c r="F8">
        <v>3.2230000000000001E-5</v>
      </c>
      <c r="G8">
        <v>12.6</v>
      </c>
      <c r="H8">
        <v>12.62</v>
      </c>
      <c r="I8">
        <v>0.2</v>
      </c>
    </row>
    <row r="9" spans="1:9" x14ac:dyDescent="0.35">
      <c r="A9" t="s">
        <v>16</v>
      </c>
      <c r="B9" t="s">
        <v>77</v>
      </c>
      <c r="C9">
        <v>0.2</v>
      </c>
      <c r="D9">
        <v>8</v>
      </c>
      <c r="E9">
        <v>20</v>
      </c>
      <c r="F9">
        <v>2.9830000000000001E-5</v>
      </c>
      <c r="G9">
        <v>11.85</v>
      </c>
      <c r="H9">
        <v>11.86</v>
      </c>
      <c r="I9">
        <v>0.1</v>
      </c>
    </row>
    <row r="10" spans="1:9" x14ac:dyDescent="0.35">
      <c r="A10" t="s">
        <v>17</v>
      </c>
      <c r="B10" t="s">
        <v>77</v>
      </c>
      <c r="C10">
        <v>0.2</v>
      </c>
      <c r="D10">
        <v>8</v>
      </c>
      <c r="E10">
        <v>20</v>
      </c>
      <c r="F10">
        <v>8.5610000000000002E-5</v>
      </c>
      <c r="G10">
        <v>5.16</v>
      </c>
      <c r="H10">
        <v>5.84</v>
      </c>
      <c r="I10">
        <v>13.2</v>
      </c>
    </row>
    <row r="11" spans="1:9" x14ac:dyDescent="0.35">
      <c r="A11" t="s">
        <v>18</v>
      </c>
      <c r="B11" t="s">
        <v>77</v>
      </c>
      <c r="C11">
        <v>0.2</v>
      </c>
      <c r="D11">
        <v>8</v>
      </c>
      <c r="E11">
        <v>20</v>
      </c>
      <c r="F11">
        <v>9.0409999999999997E-5</v>
      </c>
      <c r="G11">
        <v>18.46</v>
      </c>
      <c r="H11">
        <v>19.329999999999998</v>
      </c>
      <c r="I11">
        <v>4.7</v>
      </c>
    </row>
    <row r="12" spans="1:9" x14ac:dyDescent="0.35">
      <c r="A12" t="s">
        <v>19</v>
      </c>
      <c r="B12" t="s">
        <v>77</v>
      </c>
      <c r="C12">
        <v>0.5</v>
      </c>
      <c r="D12">
        <v>4</v>
      </c>
      <c r="E12">
        <v>20</v>
      </c>
      <c r="F12">
        <v>1.347E-5</v>
      </c>
      <c r="G12">
        <v>9.7200000000000006</v>
      </c>
      <c r="H12">
        <v>10.33</v>
      </c>
      <c r="I12">
        <v>6.2</v>
      </c>
    </row>
    <row r="13" spans="1:9" x14ac:dyDescent="0.35">
      <c r="A13" t="s">
        <v>21</v>
      </c>
      <c r="B13" t="s">
        <v>77</v>
      </c>
      <c r="C13">
        <v>0.5</v>
      </c>
      <c r="D13">
        <v>8</v>
      </c>
      <c r="E13">
        <v>20</v>
      </c>
      <c r="F13">
        <v>5.6239999999999997E-5</v>
      </c>
      <c r="G13">
        <v>8.1300000000000008</v>
      </c>
      <c r="H13">
        <v>8.25</v>
      </c>
      <c r="I13">
        <v>1.5</v>
      </c>
    </row>
    <row r="14" spans="1:9" x14ac:dyDescent="0.35">
      <c r="A14" t="s">
        <v>20</v>
      </c>
      <c r="B14" t="s">
        <v>77</v>
      </c>
      <c r="C14">
        <v>0.5</v>
      </c>
      <c r="D14">
        <v>4</v>
      </c>
      <c r="E14">
        <v>50</v>
      </c>
      <c r="F14">
        <v>9.9999999999999995E-7</v>
      </c>
      <c r="G14">
        <v>10.06</v>
      </c>
      <c r="H14">
        <v>11.99</v>
      </c>
      <c r="I14">
        <v>19.2</v>
      </c>
    </row>
    <row r="15" spans="1:9" x14ac:dyDescent="0.35">
      <c r="A15" t="s">
        <v>22</v>
      </c>
      <c r="B15" t="s">
        <v>77</v>
      </c>
      <c r="C15">
        <v>1</v>
      </c>
      <c r="D15">
        <v>8</v>
      </c>
      <c r="E15">
        <v>20</v>
      </c>
      <c r="F15">
        <v>9.3380000000000004E-5</v>
      </c>
      <c r="G15">
        <v>48.72</v>
      </c>
      <c r="H15">
        <v>49.71</v>
      </c>
      <c r="I15">
        <v>2</v>
      </c>
    </row>
    <row r="16" spans="1:9" x14ac:dyDescent="0.35">
      <c r="A16" t="s">
        <v>28</v>
      </c>
      <c r="B16" t="s">
        <v>77</v>
      </c>
      <c r="C16">
        <v>1.1000000000000001</v>
      </c>
      <c r="D16">
        <v>4</v>
      </c>
      <c r="E16">
        <v>6</v>
      </c>
      <c r="F16">
        <v>3.4020000000000003E-5</v>
      </c>
      <c r="G16">
        <v>4.83</v>
      </c>
      <c r="H16">
        <v>4.84</v>
      </c>
      <c r="I16">
        <v>0.1</v>
      </c>
    </row>
    <row r="17" spans="1:9" x14ac:dyDescent="0.35">
      <c r="A17" t="s">
        <v>23</v>
      </c>
      <c r="B17" t="s">
        <v>77</v>
      </c>
      <c r="C17">
        <v>1.1000000000000001</v>
      </c>
      <c r="D17">
        <v>4</v>
      </c>
      <c r="E17">
        <v>20</v>
      </c>
      <c r="F17">
        <v>6.3299999999999994E-5</v>
      </c>
      <c r="G17">
        <v>74.010000000000005</v>
      </c>
      <c r="H17">
        <v>75.03</v>
      </c>
      <c r="I17">
        <v>1.4</v>
      </c>
    </row>
    <row r="18" spans="1:9" x14ac:dyDescent="0.35">
      <c r="A18" t="s">
        <v>24</v>
      </c>
      <c r="B18" t="s">
        <v>77</v>
      </c>
      <c r="C18">
        <v>1.1000000000000001</v>
      </c>
      <c r="D18">
        <v>4</v>
      </c>
      <c r="E18">
        <v>20</v>
      </c>
      <c r="F18">
        <v>9.9909999999999997E-5</v>
      </c>
      <c r="G18">
        <v>33.450000000000003</v>
      </c>
      <c r="H18">
        <v>39.78</v>
      </c>
      <c r="I18">
        <v>18.899999999999999</v>
      </c>
    </row>
    <row r="19" spans="1:9" x14ac:dyDescent="0.35">
      <c r="A19" t="s">
        <v>25</v>
      </c>
      <c r="B19" t="s">
        <v>77</v>
      </c>
      <c r="C19">
        <v>1.1000000000000001</v>
      </c>
      <c r="D19">
        <v>4</v>
      </c>
      <c r="E19">
        <v>20</v>
      </c>
      <c r="F19">
        <v>6.3670000000000005E-5</v>
      </c>
      <c r="G19">
        <v>55.24</v>
      </c>
      <c r="H19">
        <v>56.48</v>
      </c>
      <c r="I19">
        <v>2.2000000000000002</v>
      </c>
    </row>
    <row r="20" spans="1:9" x14ac:dyDescent="0.35">
      <c r="A20" t="s">
        <v>27</v>
      </c>
      <c r="B20" t="s">
        <v>77</v>
      </c>
      <c r="C20">
        <v>1.1000000000000001</v>
      </c>
      <c r="D20">
        <v>4</v>
      </c>
      <c r="E20">
        <v>20</v>
      </c>
      <c r="F20">
        <v>1.7580000000000001E-5</v>
      </c>
      <c r="G20">
        <v>12.49</v>
      </c>
      <c r="H20">
        <v>12.88</v>
      </c>
      <c r="I20">
        <v>3.1</v>
      </c>
    </row>
    <row r="21" spans="1:9" x14ac:dyDescent="0.35">
      <c r="A21" t="s">
        <v>26</v>
      </c>
      <c r="B21" t="s">
        <v>77</v>
      </c>
      <c r="C21">
        <v>1.1000000000000001</v>
      </c>
      <c r="D21">
        <v>4</v>
      </c>
      <c r="E21">
        <v>50</v>
      </c>
      <c r="F21">
        <v>3.8500000000000004E-6</v>
      </c>
      <c r="G21">
        <v>3.94</v>
      </c>
      <c r="H21">
        <v>5.37</v>
      </c>
      <c r="I21">
        <v>36.299999999999997</v>
      </c>
    </row>
    <row r="22" spans="1:9" x14ac:dyDescent="0.35">
      <c r="A22" t="s">
        <v>29</v>
      </c>
      <c r="B22" t="s">
        <v>77</v>
      </c>
      <c r="C22">
        <v>2</v>
      </c>
      <c r="D22">
        <v>8</v>
      </c>
      <c r="E22">
        <v>20</v>
      </c>
      <c r="F22">
        <v>8.5240000000000004E-5</v>
      </c>
      <c r="G22">
        <v>8.2200000000000006</v>
      </c>
      <c r="H22">
        <v>8.9700000000000006</v>
      </c>
      <c r="I22">
        <v>9</v>
      </c>
    </row>
    <row r="23" spans="1:9" x14ac:dyDescent="0.35">
      <c r="A23" t="s">
        <v>30</v>
      </c>
      <c r="B23" t="s">
        <v>77</v>
      </c>
      <c r="C23">
        <v>2</v>
      </c>
      <c r="D23">
        <v>8</v>
      </c>
      <c r="E23">
        <v>20</v>
      </c>
      <c r="F23">
        <v>1.2698000000000001E-4</v>
      </c>
      <c r="G23">
        <v>40.869999999999997</v>
      </c>
      <c r="H23">
        <v>43.06</v>
      </c>
      <c r="I23">
        <v>5.4</v>
      </c>
    </row>
    <row r="24" spans="1:9" x14ac:dyDescent="0.35">
      <c r="A24" t="s">
        <v>31</v>
      </c>
      <c r="B24" t="s">
        <v>77</v>
      </c>
      <c r="C24">
        <v>2</v>
      </c>
      <c r="D24">
        <v>8</v>
      </c>
      <c r="E24">
        <v>50</v>
      </c>
      <c r="F24">
        <v>3.1550000000000001E-5</v>
      </c>
      <c r="G24">
        <v>29.63</v>
      </c>
      <c r="H24">
        <v>29.64</v>
      </c>
      <c r="I24">
        <v>0</v>
      </c>
    </row>
    <row r="25" spans="1:9" x14ac:dyDescent="0.35">
      <c r="A25" s="1" t="s">
        <v>75</v>
      </c>
      <c r="B25" s="1"/>
      <c r="G25" s="1">
        <v>396.2</v>
      </c>
      <c r="H25" s="1">
        <v>415.1</v>
      </c>
      <c r="I25" s="1">
        <v>4.8</v>
      </c>
    </row>
    <row r="27" spans="1:9" x14ac:dyDescent="0.35">
      <c r="A27" s="1"/>
      <c r="B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t="s">
        <v>33</v>
      </c>
      <c r="B29" t="s">
        <v>76</v>
      </c>
      <c r="C29">
        <v>0.5</v>
      </c>
      <c r="D29">
        <v>4</v>
      </c>
      <c r="E29">
        <v>20</v>
      </c>
      <c r="F29">
        <v>4.5569999999999999E-5</v>
      </c>
      <c r="G29">
        <v>3.98</v>
      </c>
      <c r="H29">
        <v>4.0999999999999996</v>
      </c>
      <c r="I29">
        <v>3.2</v>
      </c>
    </row>
    <row r="30" spans="1:9" x14ac:dyDescent="0.35">
      <c r="A30" t="s">
        <v>35</v>
      </c>
      <c r="B30" t="s">
        <v>76</v>
      </c>
      <c r="C30">
        <v>0.5</v>
      </c>
      <c r="D30">
        <v>4</v>
      </c>
      <c r="E30">
        <v>50</v>
      </c>
      <c r="F30">
        <v>2.2359999999999999E-5</v>
      </c>
      <c r="G30">
        <v>30.13</v>
      </c>
      <c r="H30">
        <v>30.2</v>
      </c>
      <c r="I30">
        <v>0.2</v>
      </c>
    </row>
    <row r="31" spans="1:9" x14ac:dyDescent="0.35">
      <c r="A31" t="s">
        <v>36</v>
      </c>
      <c r="B31" t="s">
        <v>76</v>
      </c>
      <c r="C31">
        <v>0.5</v>
      </c>
      <c r="D31">
        <v>8</v>
      </c>
      <c r="E31">
        <v>50</v>
      </c>
      <c r="F31">
        <v>5.3709999999999999E-5</v>
      </c>
      <c r="G31">
        <v>21.01</v>
      </c>
      <c r="H31">
        <v>21.24</v>
      </c>
      <c r="I31">
        <v>1.1000000000000001</v>
      </c>
    </row>
    <row r="32" spans="1:9" x14ac:dyDescent="0.35">
      <c r="A32" t="s">
        <v>44</v>
      </c>
      <c r="B32" t="s">
        <v>76</v>
      </c>
      <c r="C32">
        <v>1.1000000000000001</v>
      </c>
      <c r="D32">
        <v>4</v>
      </c>
      <c r="E32">
        <v>3</v>
      </c>
      <c r="F32">
        <v>2.198E-5</v>
      </c>
      <c r="G32">
        <v>48.11</v>
      </c>
      <c r="H32">
        <v>48.19</v>
      </c>
      <c r="I32">
        <v>0.2</v>
      </c>
    </row>
    <row r="33" spans="1:9" x14ac:dyDescent="0.35">
      <c r="A33" t="s">
        <v>45</v>
      </c>
      <c r="B33" t="s">
        <v>76</v>
      </c>
      <c r="C33">
        <v>1.1000000000000001</v>
      </c>
      <c r="D33">
        <v>4</v>
      </c>
      <c r="E33">
        <v>3</v>
      </c>
      <c r="F33">
        <v>2.0319999999999999E-5</v>
      </c>
      <c r="G33">
        <v>214.34</v>
      </c>
      <c r="H33">
        <v>214.52</v>
      </c>
      <c r="I33">
        <v>0.1</v>
      </c>
    </row>
    <row r="34" spans="1:9" x14ac:dyDescent="0.35">
      <c r="A34" t="s">
        <v>41</v>
      </c>
      <c r="B34" t="s">
        <v>76</v>
      </c>
      <c r="C34">
        <v>1.1000000000000001</v>
      </c>
      <c r="D34">
        <v>4</v>
      </c>
      <c r="E34">
        <v>6</v>
      </c>
      <c r="F34">
        <v>2.6769999999999999E-5</v>
      </c>
      <c r="G34">
        <v>2.72</v>
      </c>
      <c r="H34">
        <v>2.77</v>
      </c>
      <c r="I34">
        <v>1.7</v>
      </c>
    </row>
    <row r="35" spans="1:9" x14ac:dyDescent="0.35">
      <c r="A35" t="s">
        <v>42</v>
      </c>
      <c r="B35" t="s">
        <v>76</v>
      </c>
      <c r="C35">
        <v>1.1000000000000001</v>
      </c>
      <c r="D35">
        <v>4</v>
      </c>
      <c r="E35">
        <v>6</v>
      </c>
      <c r="F35">
        <v>7.5599999999999996E-6</v>
      </c>
      <c r="G35">
        <v>3.72</v>
      </c>
      <c r="H35">
        <v>4.57</v>
      </c>
      <c r="I35">
        <v>22.9</v>
      </c>
    </row>
    <row r="36" spans="1:9" x14ac:dyDescent="0.35">
      <c r="A36" t="s">
        <v>43</v>
      </c>
      <c r="B36" t="s">
        <v>76</v>
      </c>
      <c r="C36">
        <v>1.1000000000000001</v>
      </c>
      <c r="D36">
        <v>4</v>
      </c>
      <c r="E36">
        <v>6</v>
      </c>
      <c r="F36">
        <v>2.476E-5</v>
      </c>
      <c r="G36">
        <v>54.61</v>
      </c>
      <c r="H36">
        <v>54.68</v>
      </c>
      <c r="I36">
        <v>0.1</v>
      </c>
    </row>
    <row r="37" spans="1:9" x14ac:dyDescent="0.35">
      <c r="A37" t="s">
        <v>37</v>
      </c>
      <c r="B37" t="s">
        <v>76</v>
      </c>
      <c r="C37">
        <v>1.1000000000000001</v>
      </c>
      <c r="D37">
        <v>4</v>
      </c>
      <c r="E37">
        <v>20</v>
      </c>
      <c r="F37">
        <v>5.6253900000000001E-3</v>
      </c>
      <c r="G37">
        <v>0.72</v>
      </c>
      <c r="H37">
        <v>0.72</v>
      </c>
      <c r="I37">
        <v>0</v>
      </c>
    </row>
    <row r="38" spans="1:9" x14ac:dyDescent="0.35">
      <c r="A38" t="s">
        <v>39</v>
      </c>
      <c r="B38" t="s">
        <v>76</v>
      </c>
      <c r="C38">
        <v>1.1000000000000001</v>
      </c>
      <c r="D38">
        <v>4</v>
      </c>
      <c r="E38">
        <v>20</v>
      </c>
      <c r="F38">
        <v>5.49E-6</v>
      </c>
      <c r="G38">
        <v>1.1399999999999999</v>
      </c>
      <c r="H38">
        <v>2.2400000000000002</v>
      </c>
      <c r="I38">
        <v>96.8</v>
      </c>
    </row>
    <row r="39" spans="1:9" x14ac:dyDescent="0.35">
      <c r="A39" t="s">
        <v>40</v>
      </c>
      <c r="B39" t="s">
        <v>76</v>
      </c>
      <c r="C39">
        <v>1.1000000000000001</v>
      </c>
      <c r="D39">
        <v>4</v>
      </c>
      <c r="E39">
        <v>20</v>
      </c>
      <c r="F39">
        <v>1.323E-5</v>
      </c>
      <c r="G39">
        <v>0.4</v>
      </c>
      <c r="H39">
        <v>0.91</v>
      </c>
      <c r="I39">
        <v>125.9</v>
      </c>
    </row>
    <row r="40" spans="1:9" x14ac:dyDescent="0.35">
      <c r="A40" s="1" t="s">
        <v>75</v>
      </c>
      <c r="B40" s="1"/>
      <c r="G40" s="1">
        <v>380.9</v>
      </c>
      <c r="H40" s="1">
        <v>384.1</v>
      </c>
      <c r="I40" s="1">
        <v>0.9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k_r fitted (new)</vt:lpstr>
      <vt:lpstr>reference constants</vt:lpstr>
      <vt:lpstr>DLVO-Kramers curve</vt:lpstr>
      <vt:lpstr>k_r necessity (shared const)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2026-08-26T02:08:43Z</dcterms:created>
  <dcterms:modified xsi:type="dcterms:W3CDTF">2026-08-27T21:55:01Z</dcterms:modified>
</cp:coreProperties>
</file>