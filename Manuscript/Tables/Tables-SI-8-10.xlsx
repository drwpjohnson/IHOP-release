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D50A1A80-90BE-4616-B1F7-F6F8CD71638B}" xr6:coauthVersionLast="47" xr6:coauthVersionMax="47" xr10:uidLastSave="{00000000-0000-0000-0000-000000000000}"/>
  <bookViews>
    <workbookView xWindow="2280" yWindow="310" windowWidth="12730" windowHeight="10970" firstSheet="3" activeTab="3" xr2:uid="{00000000-000D-0000-FFFF-FFFF00000000}"/>
  </bookViews>
  <sheets>
    <sheet name="ParamSpread" sheetId="1" r:id="rId1"/>
    <sheet name="Table 8 TransTest" sheetId="2" r:id="rId2"/>
    <sheet name="Table 9 Reprod. Floor" sheetId="3" r:id="rId3"/>
    <sheet name="Table 10 Cross-Cond Nu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4" l="1"/>
  <c r="F89" i="4"/>
  <c r="G89" i="4"/>
  <c r="D89" i="4"/>
  <c r="F34" i="2"/>
  <c r="D34" i="2"/>
  <c r="G34" i="2"/>
  <c r="E34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6" i="2"/>
  <c r="D20" i="3"/>
  <c r="E20" i="3"/>
  <c r="C20" i="3"/>
  <c r="L34" i="2" l="1"/>
  <c r="G35" i="2" s="1"/>
  <c r="K34" i="2"/>
  <c r="E35" i="2" s="1"/>
</calcChain>
</file>

<file path=xl/sharedStrings.xml><?xml version="1.0" encoding="utf-8"?>
<sst xmlns="http://schemas.openxmlformats.org/spreadsheetml/2006/main" count="284" uniqueCount="120">
  <si>
    <t>Condition</t>
  </si>
  <si>
    <t>n</t>
  </si>
  <si>
    <t>Li quartz 1.1 µm 4 m/d 3 mM</t>
  </si>
  <si>
    <t>1.0×</t>
  </si>
  <si>
    <t>5.0×</t>
  </si>
  <si>
    <t>5.8×</t>
  </si>
  <si>
    <t>Li quartz 1.1 µm 4 m/d 6 mM</t>
  </si>
  <si>
    <t>722×</t>
  </si>
  <si>
    <t>3.4×</t>
  </si>
  <si>
    <t>7.2×</t>
  </si>
  <si>
    <t>Li quartz 1.1 µm 4 m/d 20 mM</t>
  </si>
  <si>
    <t>7.1×</t>
  </si>
  <si>
    <t>1.6×</t>
  </si>
  <si>
    <t>3.2×</t>
  </si>
  <si>
    <t>Tong glass 0.2 µm 8 m/d 20 mM</t>
  </si>
  <si>
    <t>1.9×</t>
  </si>
  <si>
    <t>3.9×</t>
  </si>
  <si>
    <t>4.2×</t>
  </si>
  <si>
    <t>Tong glass 1.1 µm 4 m/d 20 mM</t>
  </si>
  <si>
    <t>4.4×</t>
  </si>
  <si>
    <t>4.1×</t>
  </si>
  <si>
    <t>Tong glass 2.0 µm 8 m/d 20 mM</t>
  </si>
  <si>
    <t>1.4×</t>
  </si>
  <si>
    <t>2.7×</t>
  </si>
  <si>
    <t>1.1×</t>
  </si>
  <si>
    <t>Replicate parameter-transfer test: donor column's fitted parameters applied unchanged to a sibling column at the same condition</t>
  </si>
  <si>
    <t>Each receiving column keeps its own C0, depth grid and RP-shape window; only alpha_s, alpha_m, f_x and k_r are transferred. Nothing is refitted.</t>
  </si>
  <si>
    <t>condition</t>
  </si>
  <si>
    <t>donor</t>
  </si>
  <si>
    <t>receiver</t>
  </si>
  <si>
    <t>Li quartz 1.1um 4md 3mM</t>
  </si>
  <si>
    <t>AE</t>
  </si>
  <si>
    <t>AH</t>
  </si>
  <si>
    <t>Li quartz 1.1um 4md 6mM</t>
  </si>
  <si>
    <t>AB</t>
  </si>
  <si>
    <t>V</t>
  </si>
  <si>
    <t>Y</t>
  </si>
  <si>
    <t>Li quartz 1.1um 4md 20mM</t>
  </si>
  <si>
    <t>M</t>
  </si>
  <si>
    <t>P</t>
  </si>
  <si>
    <t>S</t>
  </si>
  <si>
    <t>Tong glass 0.2um 8md 20mM</t>
  </si>
  <si>
    <t>BE</t>
  </si>
  <si>
    <t>BH</t>
  </si>
  <si>
    <t>BN</t>
  </si>
  <si>
    <t>Tong glass 1.1um 4md 20mM</t>
  </si>
  <si>
    <t>AK</t>
  </si>
  <si>
    <t>AQ</t>
  </si>
  <si>
    <t>Tong glass 2.0um 8md 20mM</t>
  </si>
  <si>
    <t>CI</t>
  </si>
  <si>
    <t>CO</t>
  </si>
  <si>
    <t>How well do the EXPERIMENTS repeat? RMS difference between sibling columns, log10 units</t>
  </si>
  <si>
    <t>This is the benchmark for the transfer penalty: no parameter set can reproduce a sibling more closely than the siblings agree with each other.</t>
  </si>
  <si>
    <t>RP is given raw and after normalising each column by its own C0; C0 differs by up to 0.8 dex between replicates and the RP level tracks it almost 1:1.</t>
  </si>
  <si>
    <t>pair</t>
  </si>
  <si>
    <t>BTEC RMS</t>
  </si>
  <si>
    <t>AE/AH</t>
  </si>
  <si>
    <t>AB/V</t>
  </si>
  <si>
    <t>AB/Y</t>
  </si>
  <si>
    <t>V/Y</t>
  </si>
  <si>
    <t>M/P</t>
  </si>
  <si>
    <t>M/S</t>
  </si>
  <si>
    <t>P/S</t>
  </si>
  <si>
    <t>BE/BH</t>
  </si>
  <si>
    <t>BE/BN</t>
  </si>
  <si>
    <t>BH/BN</t>
  </si>
  <si>
    <t>AE/AK</t>
  </si>
  <si>
    <t>AE/AQ</t>
  </si>
  <si>
    <t>AK/AQ</t>
  </si>
  <si>
    <t>CI/CO</t>
  </si>
  <si>
    <t>median: BTEC 0.386, RP raw 0.480, RP C0-normalised 0.281</t>
  </si>
  <si>
    <t>transfer penalty for comparison: RP +0.215, BTEC +0.195</t>
  </si>
  <si>
    <r>
      <rPr>
        <b/>
        <i/>
        <sz val="12"/>
        <color theme="1"/>
        <rFont val="Symbol"/>
        <family val="1"/>
        <charset val="2"/>
      </rPr>
      <t>a</t>
    </r>
    <r>
      <rPr>
        <b/>
        <i/>
        <vertAlign val="subscript"/>
        <sz val="12"/>
        <color theme="1"/>
        <rFont val="Aptos"/>
        <family val="2"/>
      </rPr>
      <t>s</t>
    </r>
  </si>
  <si>
    <r>
      <rPr>
        <b/>
        <i/>
        <sz val="12"/>
        <color theme="1"/>
        <rFont val="Symbol"/>
        <family val="1"/>
        <charset val="2"/>
      </rPr>
      <t>a</t>
    </r>
    <r>
      <rPr>
        <b/>
        <i/>
        <vertAlign val="subscript"/>
        <sz val="12"/>
        <color theme="1"/>
        <rFont val="Aptos"/>
        <family val="2"/>
      </rPr>
      <t>m</t>
    </r>
  </si>
  <si>
    <r>
      <rPr>
        <b/>
        <i/>
        <sz val="12"/>
        <color theme="1"/>
        <rFont val="Aptos"/>
        <family val="2"/>
      </rPr>
      <t>f</t>
    </r>
    <r>
      <rPr>
        <b/>
        <i/>
        <vertAlign val="subscript"/>
        <sz val="12"/>
        <color theme="1"/>
        <rFont val="Aptos"/>
        <family val="2"/>
      </rPr>
      <t>x</t>
    </r>
  </si>
  <si>
    <t>RP RMS own</t>
  </si>
  <si>
    <t>BTEC RMS own</t>
  </si>
  <si>
    <t>BTEC RMS trans-ferred</t>
  </si>
  <si>
    <t>median</t>
  </si>
  <si>
    <t>"cost-based" over D–F, "RMS, log₁₀ units (dex)" over G–J</t>
  </si>
  <si>
    <r>
      <t xml:space="preserve">RP          </t>
    </r>
    <r>
      <rPr>
        <b/>
        <i/>
        <sz val="12"/>
        <rFont val="Aptos"/>
        <family val="2"/>
      </rPr>
      <t>C</t>
    </r>
    <r>
      <rPr>
        <b/>
        <i/>
        <vertAlign val="subscript"/>
        <sz val="12"/>
        <rFont val="Aptos"/>
        <family val="2"/>
      </rPr>
      <t>0</t>
    </r>
    <r>
      <rPr>
        <b/>
        <sz val="12"/>
        <rFont val="Aptos"/>
        <family val="2"/>
      </rPr>
      <t xml:space="preserve">-norm.                                 RMS </t>
    </r>
  </si>
  <si>
    <t>RP       raw       RMS</t>
  </si>
  <si>
    <t>trans-RP</t>
  </si>
  <si>
    <t>trans-BTEC</t>
  </si>
  <si>
    <t>RMS is an absolute discrepancy in log units.</t>
  </si>
  <si>
    <t>Control: parameters from a DIFFERENT condition in the same medium, applied to the same receiving columns</t>
  </si>
  <si>
    <t>Every foreign donor is used, not a single representative. r_s stays at the receiver's own favourable anchor, so this isolates the four fitted parameters.</t>
  </si>
  <si>
    <t>RP RMS with foreign parameters</t>
  </si>
  <si>
    <t>BTEC RMS with foreign parameters</t>
  </si>
  <si>
    <t>Li.AB</t>
  </si>
  <si>
    <t>Li.V</t>
  </si>
  <si>
    <t>Li.Y</t>
  </si>
  <si>
    <t>Li.M</t>
  </si>
  <si>
    <t>Li.P</t>
  </si>
  <si>
    <t>Li.S</t>
  </si>
  <si>
    <t>Li.AE</t>
  </si>
  <si>
    <t>Li.AH</t>
  </si>
  <si>
    <t>Tong.AE</t>
  </si>
  <si>
    <t>Tong.AK</t>
  </si>
  <si>
    <t>Tong.AQ</t>
  </si>
  <si>
    <t>Tong.CI</t>
  </si>
  <si>
    <t>Tong.CO</t>
  </si>
  <si>
    <t>Tong.BE</t>
  </si>
  <si>
    <t>Tong.BH</t>
  </si>
  <si>
    <t>Tong.BN</t>
  </si>
  <si>
    <t>median with foreign parameters: RP 0.551, BTEC 0.750   (n = 84)</t>
  </si>
  <si>
    <t>Receiving condition</t>
  </si>
  <si>
    <t>Donor (study.column)</t>
  </si>
  <si>
    <t>Re-ceiver</t>
  </si>
  <si>
    <t>median transfer penalty</t>
  </si>
  <si>
    <t>Li-QTZ-1.1-4-3</t>
  </si>
  <si>
    <t>Li-QTZ-1.1-4-6</t>
  </si>
  <si>
    <t>Li-QTZ-1.1-4-20</t>
  </si>
  <si>
    <t>Tong-GB-1.1-4-20</t>
  </si>
  <si>
    <t>Tong-GB--2.0-8-20</t>
  </si>
  <si>
    <t>Tong-GB-0.2-8-20</t>
  </si>
  <si>
    <t>Tong-GB-2.0-8-20</t>
  </si>
  <si>
    <t>RP   RMS trans-ferred</t>
  </si>
  <si>
    <t>BTEC   RMS own</t>
  </si>
  <si>
    <t>RP   RMS 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</si>
</sst>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i/>
      <sz val="12"/>
      <color theme="1"/>
      <name val="Symbol"/>
      <family val="1"/>
      <charset val="2"/>
    </font>
    <font>
      <b/>
      <i/>
      <vertAlign val="subscript"/>
      <sz val="12"/>
      <color theme="1"/>
      <name val="Aptos"/>
      <family val="2"/>
    </font>
    <font>
      <b/>
      <i/>
      <sz val="12"/>
      <color theme="1"/>
      <name val="Aptos"/>
      <family val="1"/>
      <charset val="2"/>
    </font>
    <font>
      <b/>
      <i/>
      <sz val="12"/>
      <color theme="1"/>
      <name val="Aptos"/>
      <family val="2"/>
    </font>
    <font>
      <b/>
      <sz val="12"/>
      <name val="Aptos"/>
      <family val="2"/>
    </font>
    <font>
      <b/>
      <i/>
      <sz val="12"/>
      <name val="Aptos"/>
      <family val="2"/>
    </font>
    <font>
      <b/>
      <i/>
      <vertAlign val="subscript"/>
      <sz val="12"/>
      <name val="Aptos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64" fontId="0" fillId="0" borderId="0" xfId="0" applyNumberFormat="1"/>
    <xf numFmtId="164" fontId="4" fillId="0" borderId="0" xfId="0" applyNumberFormat="1" applyFont="1" applyAlignment="1">
      <alignment horizontal="center"/>
    </xf>
    <xf numFmtId="0" fontId="0" fillId="2" borderId="0" xfId="0" applyFill="1"/>
    <xf numFmtId="164" fontId="4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workbookViewId="0">
      <selection activeCell="F8" sqref="B2:F8"/>
    </sheetView>
  </sheetViews>
  <sheetFormatPr defaultRowHeight="14.5" x14ac:dyDescent="0.35"/>
  <cols>
    <col min="2" max="2" width="33.08984375" customWidth="1"/>
    <col min="3" max="3" width="2.26953125" bestFit="1" customWidth="1"/>
    <col min="4" max="4" width="5.7265625" bestFit="1" customWidth="1"/>
    <col min="5" max="6" width="5.1796875" bestFit="1" customWidth="1"/>
  </cols>
  <sheetData>
    <row r="2" spans="2:6" ht="17" x14ac:dyDescent="0.35">
      <c r="B2" s="6" t="s">
        <v>0</v>
      </c>
      <c r="C2" s="6" t="s">
        <v>1</v>
      </c>
      <c r="D2" s="7" t="s">
        <v>72</v>
      </c>
      <c r="E2" s="7" t="s">
        <v>73</v>
      </c>
      <c r="F2" s="8" t="s">
        <v>74</v>
      </c>
    </row>
    <row r="3" spans="2:6" ht="16" x14ac:dyDescent="0.35">
      <c r="B3" s="9" t="s">
        <v>2</v>
      </c>
      <c r="C3" s="9">
        <v>2</v>
      </c>
      <c r="D3" s="9" t="s">
        <v>3</v>
      </c>
      <c r="E3" s="9" t="s">
        <v>4</v>
      </c>
      <c r="F3" s="9" t="s">
        <v>5</v>
      </c>
    </row>
    <row r="4" spans="2:6" ht="16" x14ac:dyDescent="0.35">
      <c r="B4" s="9" t="s">
        <v>6</v>
      </c>
      <c r="C4" s="9">
        <v>3</v>
      </c>
      <c r="D4" s="10" t="s">
        <v>7</v>
      </c>
      <c r="E4" s="9" t="s">
        <v>8</v>
      </c>
      <c r="F4" s="9" t="s">
        <v>9</v>
      </c>
    </row>
    <row r="5" spans="2:6" ht="16" x14ac:dyDescent="0.35">
      <c r="B5" s="9" t="s">
        <v>10</v>
      </c>
      <c r="C5" s="9">
        <v>3</v>
      </c>
      <c r="D5" s="9" t="s">
        <v>11</v>
      </c>
      <c r="E5" s="9" t="s">
        <v>12</v>
      </c>
      <c r="F5" s="9" t="s">
        <v>13</v>
      </c>
    </row>
    <row r="6" spans="2:6" ht="16" x14ac:dyDescent="0.35">
      <c r="B6" s="9" t="s">
        <v>14</v>
      </c>
      <c r="C6" s="9">
        <v>3</v>
      </c>
      <c r="D6" s="9" t="s">
        <v>15</v>
      </c>
      <c r="E6" s="9" t="s">
        <v>16</v>
      </c>
      <c r="F6" s="9" t="s">
        <v>17</v>
      </c>
    </row>
    <row r="7" spans="2:6" ht="16" x14ac:dyDescent="0.35">
      <c r="B7" s="9" t="s">
        <v>18</v>
      </c>
      <c r="C7" s="9">
        <v>3</v>
      </c>
      <c r="D7" s="9" t="s">
        <v>17</v>
      </c>
      <c r="E7" s="9" t="s">
        <v>19</v>
      </c>
      <c r="F7" s="9" t="s">
        <v>20</v>
      </c>
    </row>
    <row r="8" spans="2:6" ht="16" x14ac:dyDescent="0.35">
      <c r="B8" s="9" t="s">
        <v>21</v>
      </c>
      <c r="C8" s="9">
        <v>2</v>
      </c>
      <c r="D8" s="9" t="s">
        <v>22</v>
      </c>
      <c r="E8" s="9" t="s">
        <v>23</v>
      </c>
      <c r="F8" s="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77F4-AB20-41DC-BE67-3BD412227E3A}">
  <dimension ref="A1:L38"/>
  <sheetViews>
    <sheetView workbookViewId="0">
      <selection activeCell="A5" sqref="A5"/>
    </sheetView>
  </sheetViews>
  <sheetFormatPr defaultRowHeight="14.5" x14ac:dyDescent="0.35"/>
  <cols>
    <col min="1" max="1" width="17.6328125" bestFit="1" customWidth="1"/>
    <col min="2" max="2" width="6.90625" customWidth="1"/>
    <col min="3" max="3" width="9.1796875" customWidth="1"/>
  </cols>
  <sheetData>
    <row r="1" spans="1:12" x14ac:dyDescent="0.35">
      <c r="A1" s="1" t="s">
        <v>25</v>
      </c>
    </row>
    <row r="2" spans="1:12" x14ac:dyDescent="0.35">
      <c r="A2" s="2" t="s">
        <v>26</v>
      </c>
    </row>
    <row r="3" spans="1:12" x14ac:dyDescent="0.35">
      <c r="A3" t="s">
        <v>84</v>
      </c>
    </row>
    <row r="4" spans="1:12" x14ac:dyDescent="0.35">
      <c r="B4" t="s">
        <v>79</v>
      </c>
    </row>
    <row r="5" spans="1:12" ht="64" x14ac:dyDescent="0.4">
      <c r="A5" s="11" t="s">
        <v>27</v>
      </c>
      <c r="B5" s="12" t="s">
        <v>28</v>
      </c>
      <c r="C5" s="12" t="s">
        <v>29</v>
      </c>
      <c r="D5" s="16" t="s">
        <v>119</v>
      </c>
      <c r="E5" s="16" t="s">
        <v>117</v>
      </c>
      <c r="F5" s="16" t="s">
        <v>118</v>
      </c>
      <c r="G5" s="16" t="s">
        <v>77</v>
      </c>
      <c r="K5" s="21" t="s">
        <v>82</v>
      </c>
      <c r="L5" s="21" t="s">
        <v>83</v>
      </c>
    </row>
    <row r="6" spans="1:12" ht="16" x14ac:dyDescent="0.4">
      <c r="A6" s="13" t="s">
        <v>110</v>
      </c>
      <c r="B6" s="13" t="s">
        <v>31</v>
      </c>
      <c r="C6" s="13" t="s">
        <v>32</v>
      </c>
      <c r="D6" s="13">
        <v>0.161</v>
      </c>
      <c r="E6" s="13">
        <v>0.49</v>
      </c>
      <c r="F6" s="13">
        <v>0.153</v>
      </c>
      <c r="G6" s="13">
        <v>0.36099999999999999</v>
      </c>
      <c r="K6">
        <f>E6-D6</f>
        <v>0.32899999999999996</v>
      </c>
      <c r="L6">
        <f>G6-F6</f>
        <v>0.20799999999999999</v>
      </c>
    </row>
    <row r="7" spans="1:12" ht="16" x14ac:dyDescent="0.4">
      <c r="A7" s="13" t="s">
        <v>110</v>
      </c>
      <c r="B7" s="13" t="s">
        <v>32</v>
      </c>
      <c r="C7" s="13" t="s">
        <v>31</v>
      </c>
      <c r="D7" s="13">
        <v>0.13500000000000001</v>
      </c>
      <c r="E7" s="13">
        <v>0.51</v>
      </c>
      <c r="F7" s="13">
        <v>0.11</v>
      </c>
      <c r="G7" s="13">
        <v>0.38800000000000001</v>
      </c>
      <c r="K7">
        <f t="shared" ref="K7:K33" si="0">E7-D7</f>
        <v>0.375</v>
      </c>
      <c r="L7">
        <f t="shared" ref="L7:L33" si="1">G7-F7</f>
        <v>0.27800000000000002</v>
      </c>
    </row>
    <row r="8" spans="1:12" ht="16" x14ac:dyDescent="0.4">
      <c r="A8" s="13" t="s">
        <v>111</v>
      </c>
      <c r="B8" s="13" t="s">
        <v>34</v>
      </c>
      <c r="C8" s="13" t="s">
        <v>35</v>
      </c>
      <c r="D8" s="13">
        <v>9.1999999999999998E-2</v>
      </c>
      <c r="E8" s="13">
        <v>0.29699999999999999</v>
      </c>
      <c r="F8" s="13">
        <v>0.20599999999999999</v>
      </c>
      <c r="G8" s="13">
        <v>0.42599999999999999</v>
      </c>
      <c r="K8">
        <f t="shared" si="0"/>
        <v>0.20499999999999999</v>
      </c>
      <c r="L8">
        <f t="shared" si="1"/>
        <v>0.22</v>
      </c>
    </row>
    <row r="9" spans="1:12" ht="16" x14ac:dyDescent="0.4">
      <c r="A9" s="13" t="s">
        <v>111</v>
      </c>
      <c r="B9" s="13" t="s">
        <v>34</v>
      </c>
      <c r="C9" s="13" t="s">
        <v>36</v>
      </c>
      <c r="D9" s="13">
        <v>0.11700000000000001</v>
      </c>
      <c r="E9" s="13">
        <v>0.13900000000000001</v>
      </c>
      <c r="F9" s="13">
        <v>0.13700000000000001</v>
      </c>
      <c r="G9" s="13">
        <v>0.20300000000000001</v>
      </c>
      <c r="K9">
        <f t="shared" si="0"/>
        <v>2.2000000000000006E-2</v>
      </c>
      <c r="L9">
        <f t="shared" si="1"/>
        <v>6.6000000000000003E-2</v>
      </c>
    </row>
    <row r="10" spans="1:12" ht="16" x14ac:dyDescent="0.4">
      <c r="A10" s="13" t="s">
        <v>111</v>
      </c>
      <c r="B10" s="13" t="s">
        <v>35</v>
      </c>
      <c r="C10" s="13" t="s">
        <v>34</v>
      </c>
      <c r="D10" s="13">
        <v>0.114</v>
      </c>
      <c r="E10" s="13">
        <v>0.248</v>
      </c>
      <c r="F10" s="13">
        <v>0.14499999999999999</v>
      </c>
      <c r="G10" s="13">
        <v>0.49399999999999999</v>
      </c>
      <c r="K10">
        <f t="shared" si="0"/>
        <v>0.13400000000000001</v>
      </c>
      <c r="L10">
        <f t="shared" si="1"/>
        <v>0.34899999999999998</v>
      </c>
    </row>
    <row r="11" spans="1:12" ht="16" x14ac:dyDescent="0.4">
      <c r="A11" s="13" t="s">
        <v>111</v>
      </c>
      <c r="B11" s="13" t="s">
        <v>35</v>
      </c>
      <c r="C11" s="13" t="s">
        <v>36</v>
      </c>
      <c r="D11" s="13">
        <v>0.11700000000000001</v>
      </c>
      <c r="E11" s="13">
        <v>0.219</v>
      </c>
      <c r="F11" s="13">
        <v>0.13700000000000001</v>
      </c>
      <c r="G11" s="13">
        <v>0.48799999999999999</v>
      </c>
      <c r="K11">
        <f t="shared" si="0"/>
        <v>0.10199999999999999</v>
      </c>
      <c r="L11">
        <f t="shared" si="1"/>
        <v>0.35099999999999998</v>
      </c>
    </row>
    <row r="12" spans="1:12" ht="16" x14ac:dyDescent="0.4">
      <c r="A12" s="13" t="s">
        <v>111</v>
      </c>
      <c r="B12" s="13" t="s">
        <v>36</v>
      </c>
      <c r="C12" s="13" t="s">
        <v>34</v>
      </c>
      <c r="D12" s="13">
        <v>0.114</v>
      </c>
      <c r="E12" s="13">
        <v>0.122</v>
      </c>
      <c r="F12" s="13">
        <v>0.14499999999999999</v>
      </c>
      <c r="G12" s="13">
        <v>0.17</v>
      </c>
      <c r="K12">
        <f t="shared" si="0"/>
        <v>7.9999999999999932E-3</v>
      </c>
      <c r="L12">
        <f t="shared" si="1"/>
        <v>2.5000000000000022E-2</v>
      </c>
    </row>
    <row r="13" spans="1:12" ht="16" x14ac:dyDescent="0.4">
      <c r="A13" s="13" t="s">
        <v>111</v>
      </c>
      <c r="B13" s="13" t="s">
        <v>36</v>
      </c>
      <c r="C13" s="13" t="s">
        <v>35</v>
      </c>
      <c r="D13" s="13">
        <v>9.1999999999999998E-2</v>
      </c>
      <c r="E13" s="13">
        <v>0.20699999999999999</v>
      </c>
      <c r="F13" s="13">
        <v>0.20599999999999999</v>
      </c>
      <c r="G13" s="13">
        <v>0.33700000000000002</v>
      </c>
      <c r="K13">
        <f t="shared" si="0"/>
        <v>0.11499999999999999</v>
      </c>
      <c r="L13">
        <f t="shared" si="1"/>
        <v>0.13100000000000003</v>
      </c>
    </row>
    <row r="14" spans="1:12" ht="16" x14ac:dyDescent="0.4">
      <c r="A14" s="13" t="s">
        <v>112</v>
      </c>
      <c r="B14" s="13" t="s">
        <v>38</v>
      </c>
      <c r="C14" s="13" t="s">
        <v>39</v>
      </c>
      <c r="D14" s="13">
        <v>4.1000000000000002E-2</v>
      </c>
      <c r="E14" s="13">
        <v>0.26200000000000001</v>
      </c>
      <c r="F14" s="13">
        <v>0.14099999999999999</v>
      </c>
      <c r="G14" s="13">
        <v>0.59699999999999998</v>
      </c>
      <c r="K14">
        <f t="shared" si="0"/>
        <v>0.221</v>
      </c>
      <c r="L14">
        <f t="shared" si="1"/>
        <v>0.45599999999999996</v>
      </c>
    </row>
    <row r="15" spans="1:12" ht="16" x14ac:dyDescent="0.4">
      <c r="A15" s="13" t="s">
        <v>112</v>
      </c>
      <c r="B15" s="13" t="s">
        <v>38</v>
      </c>
      <c r="C15" s="13" t="s">
        <v>40</v>
      </c>
      <c r="D15" s="13">
        <v>3.4000000000000002E-2</v>
      </c>
      <c r="E15" s="13">
        <v>0.61</v>
      </c>
      <c r="F15" s="13">
        <v>0.40600000000000003</v>
      </c>
      <c r="G15" s="13">
        <v>1.141</v>
      </c>
      <c r="K15">
        <f t="shared" si="0"/>
        <v>0.57599999999999996</v>
      </c>
      <c r="L15">
        <f t="shared" si="1"/>
        <v>0.73499999999999999</v>
      </c>
    </row>
    <row r="16" spans="1:12" ht="16" x14ac:dyDescent="0.4">
      <c r="A16" s="13" t="s">
        <v>112</v>
      </c>
      <c r="B16" s="13" t="s">
        <v>39</v>
      </c>
      <c r="C16" s="13" t="s">
        <v>38</v>
      </c>
      <c r="D16" s="13">
        <v>6.2E-2</v>
      </c>
      <c r="E16" s="13">
        <v>0.32400000000000001</v>
      </c>
      <c r="F16" s="13">
        <v>8.1000000000000003E-2</v>
      </c>
      <c r="G16" s="13">
        <v>0.625</v>
      </c>
      <c r="K16">
        <f t="shared" si="0"/>
        <v>0.26200000000000001</v>
      </c>
      <c r="L16">
        <f t="shared" si="1"/>
        <v>0.54400000000000004</v>
      </c>
    </row>
    <row r="17" spans="1:12" ht="16" x14ac:dyDescent="0.4">
      <c r="A17" s="13" t="s">
        <v>112</v>
      </c>
      <c r="B17" s="13" t="s">
        <v>39</v>
      </c>
      <c r="C17" s="13" t="s">
        <v>40</v>
      </c>
      <c r="D17" s="13">
        <v>3.4000000000000002E-2</v>
      </c>
      <c r="E17" s="13">
        <v>0.32200000000000001</v>
      </c>
      <c r="F17" s="13">
        <v>0.40600000000000003</v>
      </c>
      <c r="G17" s="13">
        <v>0.628</v>
      </c>
      <c r="K17">
        <f t="shared" si="0"/>
        <v>0.28800000000000003</v>
      </c>
      <c r="L17">
        <f t="shared" si="1"/>
        <v>0.22199999999999998</v>
      </c>
    </row>
    <row r="18" spans="1:12" ht="16" x14ac:dyDescent="0.4">
      <c r="A18" s="13" t="s">
        <v>112</v>
      </c>
      <c r="B18" s="13" t="s">
        <v>40</v>
      </c>
      <c r="C18" s="13" t="s">
        <v>38</v>
      </c>
      <c r="D18" s="13">
        <v>6.2E-2</v>
      </c>
      <c r="E18" s="13">
        <v>0.66100000000000003</v>
      </c>
      <c r="F18" s="13">
        <v>8.1000000000000003E-2</v>
      </c>
      <c r="G18" s="13">
        <v>1.284</v>
      </c>
      <c r="K18">
        <f t="shared" si="0"/>
        <v>0.59899999999999998</v>
      </c>
      <c r="L18">
        <f t="shared" si="1"/>
        <v>1.2030000000000001</v>
      </c>
    </row>
    <row r="19" spans="1:12" ht="16" x14ac:dyDescent="0.4">
      <c r="A19" s="13" t="s">
        <v>112</v>
      </c>
      <c r="B19" s="13" t="s">
        <v>40</v>
      </c>
      <c r="C19" s="13" t="s">
        <v>39</v>
      </c>
      <c r="D19" s="13">
        <v>4.1000000000000002E-2</v>
      </c>
      <c r="E19" s="13">
        <v>0.36799999999999999</v>
      </c>
      <c r="F19" s="13">
        <v>0.14099999999999999</v>
      </c>
      <c r="G19" s="13">
        <v>0.67800000000000005</v>
      </c>
      <c r="K19">
        <f t="shared" si="0"/>
        <v>0.32700000000000001</v>
      </c>
      <c r="L19">
        <f t="shared" si="1"/>
        <v>0.53700000000000003</v>
      </c>
    </row>
    <row r="20" spans="1:12" ht="16" x14ac:dyDescent="0.4">
      <c r="A20" s="13" t="s">
        <v>115</v>
      </c>
      <c r="B20" s="13" t="s">
        <v>42</v>
      </c>
      <c r="C20" s="13" t="s">
        <v>43</v>
      </c>
      <c r="D20" s="13">
        <v>3.9E-2</v>
      </c>
      <c r="E20" s="13">
        <v>0.29199999999999998</v>
      </c>
      <c r="F20" s="13">
        <v>0.28799999999999998</v>
      </c>
      <c r="G20" s="13">
        <v>0.46400000000000002</v>
      </c>
      <c r="K20">
        <f t="shared" si="0"/>
        <v>0.253</v>
      </c>
      <c r="L20">
        <f t="shared" si="1"/>
        <v>0.17600000000000005</v>
      </c>
    </row>
    <row r="21" spans="1:12" ht="16" x14ac:dyDescent="0.4">
      <c r="A21" s="13" t="s">
        <v>115</v>
      </c>
      <c r="B21" s="13" t="s">
        <v>42</v>
      </c>
      <c r="C21" s="13" t="s">
        <v>44</v>
      </c>
      <c r="D21" s="13">
        <v>0.104</v>
      </c>
      <c r="E21" s="13">
        <v>0.28000000000000003</v>
      </c>
      <c r="F21" s="13">
        <v>0.221</v>
      </c>
      <c r="G21" s="13">
        <v>0.41799999999999998</v>
      </c>
      <c r="K21">
        <f t="shared" si="0"/>
        <v>0.17600000000000005</v>
      </c>
      <c r="L21">
        <f t="shared" si="1"/>
        <v>0.19699999999999998</v>
      </c>
    </row>
    <row r="22" spans="1:12" ht="16" x14ac:dyDescent="0.4">
      <c r="A22" s="13" t="s">
        <v>115</v>
      </c>
      <c r="B22" s="13" t="s">
        <v>43</v>
      </c>
      <c r="C22" s="13" t="s">
        <v>42</v>
      </c>
      <c r="D22" s="13">
        <v>6.2E-2</v>
      </c>
      <c r="E22" s="13">
        <v>0.3</v>
      </c>
      <c r="F22" s="13">
        <v>0.16300000000000001</v>
      </c>
      <c r="G22" s="13">
        <v>0.35599999999999998</v>
      </c>
      <c r="K22">
        <f t="shared" si="0"/>
        <v>0.23799999999999999</v>
      </c>
      <c r="L22">
        <f t="shared" si="1"/>
        <v>0.19299999999999998</v>
      </c>
    </row>
    <row r="23" spans="1:12" ht="16" x14ac:dyDescent="0.4">
      <c r="A23" s="13" t="s">
        <v>115</v>
      </c>
      <c r="B23" s="13" t="s">
        <v>43</v>
      </c>
      <c r="C23" s="13" t="s">
        <v>44</v>
      </c>
      <c r="D23" s="13">
        <v>0.104</v>
      </c>
      <c r="E23" s="13">
        <v>0.19900000000000001</v>
      </c>
      <c r="F23" s="13">
        <v>0.221</v>
      </c>
      <c r="G23" s="13">
        <v>0.22700000000000001</v>
      </c>
      <c r="K23">
        <f t="shared" si="0"/>
        <v>9.5000000000000015E-2</v>
      </c>
      <c r="L23">
        <f t="shared" si="1"/>
        <v>6.0000000000000053E-3</v>
      </c>
    </row>
    <row r="24" spans="1:12" ht="16" x14ac:dyDescent="0.4">
      <c r="A24" s="13" t="s">
        <v>115</v>
      </c>
      <c r="B24" s="13" t="s">
        <v>44</v>
      </c>
      <c r="C24" s="13" t="s">
        <v>42</v>
      </c>
      <c r="D24" s="13">
        <v>6.2E-2</v>
      </c>
      <c r="E24" s="13">
        <v>0.20399999999999999</v>
      </c>
      <c r="F24" s="13">
        <v>0.16300000000000001</v>
      </c>
      <c r="G24" s="13">
        <v>0.35299999999999998</v>
      </c>
      <c r="K24">
        <f t="shared" si="0"/>
        <v>0.14199999999999999</v>
      </c>
      <c r="L24">
        <f t="shared" si="1"/>
        <v>0.18999999999999997</v>
      </c>
    </row>
    <row r="25" spans="1:12" ht="16" x14ac:dyDescent="0.4">
      <c r="A25" s="13" t="s">
        <v>115</v>
      </c>
      <c r="B25" s="13" t="s">
        <v>44</v>
      </c>
      <c r="C25" s="13" t="s">
        <v>43</v>
      </c>
      <c r="D25" s="13">
        <v>3.9E-2</v>
      </c>
      <c r="E25" s="13">
        <v>0.186</v>
      </c>
      <c r="F25" s="13">
        <v>0.28799999999999998</v>
      </c>
      <c r="G25" s="13">
        <v>0.27900000000000003</v>
      </c>
      <c r="K25">
        <f t="shared" si="0"/>
        <v>0.14699999999999999</v>
      </c>
      <c r="L25">
        <f t="shared" si="1"/>
        <v>-8.9999999999999525E-3</v>
      </c>
    </row>
    <row r="26" spans="1:12" ht="16" x14ac:dyDescent="0.4">
      <c r="A26" s="13" t="s">
        <v>113</v>
      </c>
      <c r="B26" s="13" t="s">
        <v>31</v>
      </c>
      <c r="C26" s="13" t="s">
        <v>46</v>
      </c>
      <c r="D26" s="13">
        <v>7.5999999999999998E-2</v>
      </c>
      <c r="E26" s="13">
        <v>0.622</v>
      </c>
      <c r="F26" s="13">
        <v>0.309</v>
      </c>
      <c r="G26" s="13">
        <v>0.69</v>
      </c>
      <c r="K26">
        <f t="shared" si="0"/>
        <v>0.54600000000000004</v>
      </c>
      <c r="L26">
        <f t="shared" si="1"/>
        <v>0.38099999999999995</v>
      </c>
    </row>
    <row r="27" spans="1:12" ht="16" x14ac:dyDescent="0.4">
      <c r="A27" s="13" t="s">
        <v>113</v>
      </c>
      <c r="B27" s="13" t="s">
        <v>31</v>
      </c>
      <c r="C27" s="13" t="s">
        <v>47</v>
      </c>
      <c r="D27" s="13">
        <v>0.112</v>
      </c>
      <c r="E27" s="13">
        <v>0.187</v>
      </c>
      <c r="F27" s="13">
        <v>0.32300000000000001</v>
      </c>
      <c r="G27" s="13">
        <v>0.39200000000000002</v>
      </c>
      <c r="K27">
        <f t="shared" si="0"/>
        <v>7.4999999999999997E-2</v>
      </c>
      <c r="L27">
        <f t="shared" si="1"/>
        <v>6.9000000000000006E-2</v>
      </c>
    </row>
    <row r="28" spans="1:12" ht="16" x14ac:dyDescent="0.4">
      <c r="A28" s="13" t="s">
        <v>113</v>
      </c>
      <c r="B28" s="13" t="s">
        <v>46</v>
      </c>
      <c r="C28" s="13" t="s">
        <v>31</v>
      </c>
      <c r="D28" s="13">
        <v>0.14699999999999999</v>
      </c>
      <c r="E28" s="13">
        <v>0.64200000000000002</v>
      </c>
      <c r="F28" s="13">
        <v>0.16800000000000001</v>
      </c>
      <c r="G28" s="13">
        <v>0.47499999999999998</v>
      </c>
      <c r="K28">
        <f t="shared" si="0"/>
        <v>0.495</v>
      </c>
      <c r="L28">
        <f t="shared" si="1"/>
        <v>0.30699999999999994</v>
      </c>
    </row>
    <row r="29" spans="1:12" ht="16" x14ac:dyDescent="0.4">
      <c r="A29" s="13" t="s">
        <v>113</v>
      </c>
      <c r="B29" s="13" t="s">
        <v>46</v>
      </c>
      <c r="C29" s="13" t="s">
        <v>47</v>
      </c>
      <c r="D29" s="13">
        <v>0.112</v>
      </c>
      <c r="E29" s="13">
        <v>0.47499999999999998</v>
      </c>
      <c r="F29" s="13">
        <v>0.32300000000000001</v>
      </c>
      <c r="G29" s="13">
        <v>0.38300000000000001</v>
      </c>
      <c r="K29">
        <f t="shared" si="0"/>
        <v>0.36299999999999999</v>
      </c>
      <c r="L29">
        <f t="shared" si="1"/>
        <v>0.06</v>
      </c>
    </row>
    <row r="30" spans="1:12" ht="16" x14ac:dyDescent="0.4">
      <c r="A30" s="13" t="s">
        <v>113</v>
      </c>
      <c r="B30" s="13" t="s">
        <v>47</v>
      </c>
      <c r="C30" s="13" t="s">
        <v>31</v>
      </c>
      <c r="D30" s="13">
        <v>0.14699999999999999</v>
      </c>
      <c r="E30" s="13">
        <v>0.22700000000000001</v>
      </c>
      <c r="F30" s="13">
        <v>0.16800000000000001</v>
      </c>
      <c r="G30" s="13">
        <v>0.29599999999999999</v>
      </c>
      <c r="K30">
        <f t="shared" si="0"/>
        <v>8.0000000000000016E-2</v>
      </c>
      <c r="L30">
        <f t="shared" si="1"/>
        <v>0.12799999999999997</v>
      </c>
    </row>
    <row r="31" spans="1:12" ht="16" x14ac:dyDescent="0.4">
      <c r="A31" s="13" t="s">
        <v>113</v>
      </c>
      <c r="B31" s="13" t="s">
        <v>47</v>
      </c>
      <c r="C31" s="13" t="s">
        <v>46</v>
      </c>
      <c r="D31" s="13">
        <v>7.5999999999999998E-2</v>
      </c>
      <c r="E31" s="13">
        <v>0.46899999999999997</v>
      </c>
      <c r="F31" s="13">
        <v>0.309</v>
      </c>
      <c r="G31" s="13">
        <v>0.45700000000000002</v>
      </c>
      <c r="K31">
        <f t="shared" si="0"/>
        <v>0.39299999999999996</v>
      </c>
      <c r="L31">
        <f t="shared" si="1"/>
        <v>0.14800000000000002</v>
      </c>
    </row>
    <row r="32" spans="1:12" ht="16" x14ac:dyDescent="0.4">
      <c r="A32" s="13" t="s">
        <v>116</v>
      </c>
      <c r="B32" s="13" t="s">
        <v>49</v>
      </c>
      <c r="C32" s="13" t="s">
        <v>50</v>
      </c>
      <c r="D32" s="13">
        <v>0.111</v>
      </c>
      <c r="E32" s="13">
        <v>0.27100000000000002</v>
      </c>
      <c r="F32" s="13">
        <v>0.30299999999999999</v>
      </c>
      <c r="G32" s="13">
        <v>0.33700000000000002</v>
      </c>
      <c r="K32">
        <f t="shared" si="0"/>
        <v>0.16000000000000003</v>
      </c>
      <c r="L32">
        <f t="shared" si="1"/>
        <v>3.400000000000003E-2</v>
      </c>
    </row>
    <row r="33" spans="1:12" ht="16" x14ac:dyDescent="0.4">
      <c r="A33" s="13" t="s">
        <v>116</v>
      </c>
      <c r="B33" s="13" t="s">
        <v>50</v>
      </c>
      <c r="C33" s="13" t="s">
        <v>49</v>
      </c>
      <c r="D33" s="13">
        <v>7.2999999999999995E-2</v>
      </c>
      <c r="E33" s="13">
        <v>0.28199999999999997</v>
      </c>
      <c r="F33" s="13">
        <v>9.8000000000000004E-2</v>
      </c>
      <c r="G33" s="13">
        <v>0.10100000000000001</v>
      </c>
      <c r="K33">
        <f t="shared" si="0"/>
        <v>0.20899999999999996</v>
      </c>
      <c r="L33">
        <f t="shared" si="1"/>
        <v>3.0000000000000027E-3</v>
      </c>
    </row>
    <row r="34" spans="1:12" ht="16" x14ac:dyDescent="0.4">
      <c r="A34" s="19"/>
      <c r="B34" s="19"/>
      <c r="C34" s="22" t="s">
        <v>78</v>
      </c>
      <c r="D34" s="13">
        <f>MEDIAN(D6:D33)</f>
        <v>9.1999999999999998E-2</v>
      </c>
      <c r="E34" s="13">
        <f>MEDIAN(E6:E33)</f>
        <v>0.28699999999999998</v>
      </c>
      <c r="F34" s="13">
        <f>MEDIAN(F6:F33)</f>
        <v>0.16800000000000001</v>
      </c>
      <c r="G34" s="13">
        <f>MEDIAN(G6:G33)</f>
        <v>0.40500000000000003</v>
      </c>
      <c r="K34" s="4">
        <f>MEDIAN(K6:K33)</f>
        <v>0.21499999999999997</v>
      </c>
      <c r="L34" s="4">
        <f>MEDIAN(L6:L33)</f>
        <v>0.19499999999999998</v>
      </c>
    </row>
    <row r="35" spans="1:12" ht="16" x14ac:dyDescent="0.4">
      <c r="A35" s="19"/>
      <c r="B35" s="19"/>
      <c r="C35" s="22" t="s">
        <v>109</v>
      </c>
      <c r="D35" s="22"/>
      <c r="E35" s="13">
        <f>K34</f>
        <v>0.21499999999999997</v>
      </c>
      <c r="F35" s="13"/>
      <c r="G35" s="13">
        <f>L34</f>
        <v>0.19499999999999998</v>
      </c>
    </row>
    <row r="37" spans="1:12" x14ac:dyDescent="0.35">
      <c r="A37" s="1"/>
    </row>
    <row r="38" spans="1:12" x14ac:dyDescent="0.35">
      <c r="A38" s="2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218-1ACA-445A-84C7-EF4CF6A4248A}">
  <dimension ref="A1:G33"/>
  <sheetViews>
    <sheetView topLeftCell="A3" workbookViewId="0">
      <selection activeCell="G17" sqref="G17"/>
    </sheetView>
  </sheetViews>
  <sheetFormatPr defaultRowHeight="14.5" x14ac:dyDescent="0.35"/>
  <cols>
    <col min="1" max="1" width="17.6328125" bestFit="1" customWidth="1"/>
    <col min="2" max="2" width="7.36328125" bestFit="1" customWidth="1"/>
    <col min="3" max="3" width="6.90625" bestFit="1" customWidth="1"/>
    <col min="4" max="4" width="9.54296875" bestFit="1" customWidth="1"/>
    <col min="5" max="5" width="11" customWidth="1"/>
  </cols>
  <sheetData>
    <row r="1" spans="1:7" x14ac:dyDescent="0.35">
      <c r="A1" s="1" t="s">
        <v>51</v>
      </c>
    </row>
    <row r="2" spans="1:7" x14ac:dyDescent="0.35">
      <c r="A2" s="2" t="s">
        <v>52</v>
      </c>
    </row>
    <row r="3" spans="1:7" x14ac:dyDescent="0.35">
      <c r="A3" s="2" t="s">
        <v>53</v>
      </c>
    </row>
    <row r="5" spans="1:7" ht="48.5" customHeight="1" x14ac:dyDescent="0.4">
      <c r="A5" s="14" t="s">
        <v>27</v>
      </c>
      <c r="B5" s="14" t="s">
        <v>54</v>
      </c>
      <c r="C5" s="15" t="s">
        <v>55</v>
      </c>
      <c r="D5" s="15" t="s">
        <v>81</v>
      </c>
      <c r="E5" s="15" t="s">
        <v>80</v>
      </c>
    </row>
    <row r="6" spans="1:7" ht="16" x14ac:dyDescent="0.4">
      <c r="A6" s="13" t="s">
        <v>110</v>
      </c>
      <c r="B6" s="13" t="s">
        <v>56</v>
      </c>
      <c r="C6" s="13">
        <v>0.38900000000000001</v>
      </c>
      <c r="D6" s="13">
        <v>0.45500000000000002</v>
      </c>
      <c r="E6" s="13">
        <v>0.44400000000000001</v>
      </c>
      <c r="G6" s="3"/>
    </row>
    <row r="7" spans="1:7" ht="16" x14ac:dyDescent="0.4">
      <c r="A7" s="13" t="s">
        <v>111</v>
      </c>
      <c r="B7" s="13" t="s">
        <v>57</v>
      </c>
      <c r="C7" s="13">
        <v>0.33400000000000002</v>
      </c>
      <c r="D7" s="13">
        <v>0.251</v>
      </c>
      <c r="E7" s="13">
        <v>0.251</v>
      </c>
      <c r="G7" s="4"/>
    </row>
    <row r="8" spans="1:7" ht="16" x14ac:dyDescent="0.4">
      <c r="A8" s="13" t="s">
        <v>111</v>
      </c>
      <c r="B8" s="13" t="s">
        <v>58</v>
      </c>
      <c r="C8" s="13">
        <v>0.154</v>
      </c>
      <c r="D8" s="13">
        <v>1.008</v>
      </c>
      <c r="E8" s="13">
        <v>0.12</v>
      </c>
      <c r="G8" s="4"/>
    </row>
    <row r="9" spans="1:7" ht="16" x14ac:dyDescent="0.4">
      <c r="A9" s="13" t="s">
        <v>111</v>
      </c>
      <c r="B9" s="13" t="s">
        <v>59</v>
      </c>
      <c r="C9" s="13">
        <v>0.32900000000000001</v>
      </c>
      <c r="D9" s="13">
        <v>1.0669999999999999</v>
      </c>
      <c r="E9" s="13">
        <v>0.20200000000000001</v>
      </c>
      <c r="G9" s="4"/>
    </row>
    <row r="10" spans="1:7" ht="16" x14ac:dyDescent="0.4">
      <c r="A10" s="13" t="s">
        <v>112</v>
      </c>
      <c r="B10" s="13" t="s">
        <v>60</v>
      </c>
      <c r="C10" s="13">
        <v>0.63100000000000001</v>
      </c>
      <c r="D10" s="13">
        <v>0.44900000000000001</v>
      </c>
      <c r="E10" s="13">
        <v>0.29399999999999998</v>
      </c>
      <c r="G10" s="4"/>
    </row>
    <row r="11" spans="1:7" ht="16" x14ac:dyDescent="0.4">
      <c r="A11" s="13" t="s">
        <v>112</v>
      </c>
      <c r="B11" s="13" t="s">
        <v>61</v>
      </c>
      <c r="C11" s="13">
        <v>1.3009999999999999</v>
      </c>
      <c r="D11" s="13">
        <v>0.46700000000000003</v>
      </c>
      <c r="E11" s="13">
        <v>0.64300000000000002</v>
      </c>
      <c r="G11" s="4"/>
    </row>
    <row r="12" spans="1:7" ht="16" x14ac:dyDescent="0.4">
      <c r="A12" s="13" t="s">
        <v>112</v>
      </c>
      <c r="B12" s="13" t="s">
        <v>62</v>
      </c>
      <c r="C12" s="13">
        <v>0.61599999999999999</v>
      </c>
      <c r="D12" s="13">
        <v>0.374</v>
      </c>
      <c r="E12" s="13">
        <v>0.35099999999999998</v>
      </c>
      <c r="G12" s="4"/>
    </row>
    <row r="13" spans="1:7" ht="16" x14ac:dyDescent="0.4">
      <c r="A13" s="13" t="s">
        <v>115</v>
      </c>
      <c r="B13" s="13" t="s">
        <v>63</v>
      </c>
      <c r="C13" s="13">
        <v>0.48899999999999999</v>
      </c>
      <c r="D13" s="13">
        <v>0.33700000000000002</v>
      </c>
      <c r="E13" s="13">
        <v>0.28199999999999997</v>
      </c>
      <c r="G13" s="4"/>
    </row>
    <row r="14" spans="1:7" ht="16" x14ac:dyDescent="0.4">
      <c r="A14" s="13" t="s">
        <v>115</v>
      </c>
      <c r="B14" s="13" t="s">
        <v>64</v>
      </c>
      <c r="C14" s="13">
        <v>0.47699999999999998</v>
      </c>
      <c r="D14" s="13">
        <v>0.49299999999999999</v>
      </c>
      <c r="E14" s="13">
        <v>0.27900000000000003</v>
      </c>
      <c r="G14" s="4"/>
    </row>
    <row r="15" spans="1:7" ht="16" x14ac:dyDescent="0.4">
      <c r="A15" s="13" t="s">
        <v>115</v>
      </c>
      <c r="B15" s="13" t="s">
        <v>65</v>
      </c>
      <c r="C15" s="13">
        <v>0.3</v>
      </c>
      <c r="D15" s="13">
        <v>0.65700000000000003</v>
      </c>
      <c r="E15" s="13">
        <v>0.20200000000000001</v>
      </c>
      <c r="G15" s="4"/>
    </row>
    <row r="16" spans="1:7" ht="16" x14ac:dyDescent="0.4">
      <c r="A16" s="13" t="s">
        <v>113</v>
      </c>
      <c r="B16" s="13" t="s">
        <v>66</v>
      </c>
      <c r="C16" s="13">
        <v>0.51300000000000001</v>
      </c>
      <c r="D16" s="13">
        <v>0.56799999999999995</v>
      </c>
      <c r="E16" s="13">
        <v>0.63700000000000001</v>
      </c>
      <c r="G16" s="4"/>
    </row>
    <row r="17" spans="1:7" ht="16" x14ac:dyDescent="0.4">
      <c r="A17" s="13" t="s">
        <v>113</v>
      </c>
      <c r="B17" s="13" t="s">
        <v>67</v>
      </c>
      <c r="C17" s="13">
        <v>0.34399999999999997</v>
      </c>
      <c r="D17" s="13">
        <v>0.59099999999999997</v>
      </c>
      <c r="E17" s="13">
        <v>0.17</v>
      </c>
      <c r="G17" s="4"/>
    </row>
    <row r="18" spans="1:7" ht="16" x14ac:dyDescent="0.4">
      <c r="A18" s="13" t="s">
        <v>113</v>
      </c>
      <c r="B18" s="13" t="s">
        <v>68</v>
      </c>
      <c r="C18" s="13">
        <v>0.38200000000000001</v>
      </c>
      <c r="D18" s="13">
        <v>6.5000000000000002E-2</v>
      </c>
      <c r="E18" s="13">
        <v>0.47499999999999998</v>
      </c>
      <c r="G18" s="4"/>
    </row>
    <row r="19" spans="1:7" ht="16" x14ac:dyDescent="0.4">
      <c r="A19" s="13" t="s">
        <v>114</v>
      </c>
      <c r="B19" s="13" t="s">
        <v>69</v>
      </c>
      <c r="C19" s="13">
        <v>0.28299999999999997</v>
      </c>
      <c r="D19" s="13">
        <v>0.71</v>
      </c>
      <c r="E19" s="13">
        <v>0.27900000000000003</v>
      </c>
      <c r="G19" s="4"/>
    </row>
    <row r="20" spans="1:7" ht="16" x14ac:dyDescent="0.4">
      <c r="A20" s="19"/>
      <c r="B20" s="13" t="s">
        <v>78</v>
      </c>
      <c r="C20" s="20">
        <f>MEDIAN(C6:C19)</f>
        <v>0.38550000000000001</v>
      </c>
      <c r="D20" s="20">
        <f t="shared" ref="D20:E20" si="0">MEDIAN(D6:D19)</f>
        <v>0.48</v>
      </c>
      <c r="E20" s="20">
        <f t="shared" si="0"/>
        <v>0.28049999999999997</v>
      </c>
      <c r="G20" s="4"/>
    </row>
    <row r="21" spans="1:7" ht="16" x14ac:dyDescent="0.4">
      <c r="C21" s="17"/>
      <c r="G21" s="4"/>
    </row>
    <row r="22" spans="1:7" ht="16" x14ac:dyDescent="0.4">
      <c r="A22" s="1" t="s">
        <v>70</v>
      </c>
      <c r="G22" s="4"/>
    </row>
    <row r="23" spans="1:7" ht="16" x14ac:dyDescent="0.4">
      <c r="A23" s="1" t="s">
        <v>71</v>
      </c>
      <c r="G23" s="4"/>
    </row>
    <row r="24" spans="1:7" ht="16" x14ac:dyDescent="0.4">
      <c r="G24" s="4"/>
    </row>
    <row r="25" spans="1:7" ht="16" x14ac:dyDescent="0.4">
      <c r="G25" s="4"/>
    </row>
    <row r="26" spans="1:7" ht="16" x14ac:dyDescent="0.4">
      <c r="G26" s="4"/>
    </row>
    <row r="27" spans="1:7" ht="16" x14ac:dyDescent="0.4">
      <c r="G27" s="4"/>
    </row>
    <row r="28" spans="1:7" ht="16" x14ac:dyDescent="0.4">
      <c r="G28" s="4"/>
    </row>
    <row r="29" spans="1:7" ht="16" x14ac:dyDescent="0.4">
      <c r="G29" s="4"/>
    </row>
    <row r="30" spans="1:7" ht="16" x14ac:dyDescent="0.4">
      <c r="G30" s="4"/>
    </row>
    <row r="31" spans="1:7" ht="16" x14ac:dyDescent="0.4">
      <c r="G31" s="4"/>
    </row>
    <row r="32" spans="1:7" ht="16" x14ac:dyDescent="0.4">
      <c r="G32" s="4"/>
    </row>
    <row r="33" spans="7:7" ht="16" x14ac:dyDescent="0.4">
      <c r="G3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7C0D-C9E8-4FED-A6E6-56FA6A50F087}">
  <dimension ref="A1:G90"/>
  <sheetViews>
    <sheetView tabSelected="1" workbookViewId="0">
      <selection activeCell="C89" sqref="C89"/>
    </sheetView>
  </sheetViews>
  <sheetFormatPr defaultRowHeight="14.5" x14ac:dyDescent="0.35"/>
  <cols>
    <col min="1" max="1" width="10.54296875" customWidth="1"/>
    <col min="2" max="2" width="9.08984375" customWidth="1"/>
    <col min="3" max="3" width="16.08984375" customWidth="1"/>
    <col min="4" max="4" width="8.6328125" bestFit="1" customWidth="1"/>
    <col min="5" max="5" width="12.453125" customWidth="1"/>
    <col min="6" max="6" width="11.26953125" customWidth="1"/>
    <col min="7" max="7" width="13.08984375" customWidth="1"/>
  </cols>
  <sheetData>
    <row r="1" spans="1:7" x14ac:dyDescent="0.35">
      <c r="A1" s="23" t="s">
        <v>85</v>
      </c>
      <c r="B1" s="23"/>
    </row>
    <row r="2" spans="1:7" x14ac:dyDescent="0.35">
      <c r="A2" s="24" t="s">
        <v>86</v>
      </c>
      <c r="B2" s="24"/>
    </row>
    <row r="4" spans="1:7" ht="47.5" customHeight="1" x14ac:dyDescent="0.4">
      <c r="A4" s="5" t="s">
        <v>106</v>
      </c>
      <c r="B4" s="5" t="s">
        <v>108</v>
      </c>
      <c r="C4" s="5" t="s">
        <v>107</v>
      </c>
      <c r="D4" s="5" t="s">
        <v>75</v>
      </c>
      <c r="E4" s="5" t="s">
        <v>87</v>
      </c>
      <c r="F4" s="5" t="s">
        <v>76</v>
      </c>
      <c r="G4" s="5" t="s">
        <v>88</v>
      </c>
    </row>
    <row r="5" spans="1:7" ht="16" x14ac:dyDescent="0.4">
      <c r="A5" s="26" t="s">
        <v>30</v>
      </c>
      <c r="B5" s="25" t="s">
        <v>31</v>
      </c>
      <c r="C5" s="4" t="s">
        <v>89</v>
      </c>
      <c r="D5" s="4">
        <v>0.13500000000000001</v>
      </c>
      <c r="E5" s="4">
        <v>0.13800000000000001</v>
      </c>
      <c r="F5" s="4">
        <v>0.11</v>
      </c>
      <c r="G5" s="4">
        <v>0.308</v>
      </c>
    </row>
    <row r="6" spans="1:7" ht="16" x14ac:dyDescent="0.4">
      <c r="A6" s="26"/>
      <c r="B6" s="25"/>
      <c r="C6" s="4" t="s">
        <v>90</v>
      </c>
      <c r="D6" s="4">
        <v>0.13500000000000001</v>
      </c>
      <c r="E6" s="4">
        <v>0.25</v>
      </c>
      <c r="F6" s="4">
        <v>0.11</v>
      </c>
      <c r="G6" s="4">
        <v>0.51900000000000002</v>
      </c>
    </row>
    <row r="7" spans="1:7" ht="16" x14ac:dyDescent="0.4">
      <c r="A7" s="26"/>
      <c r="B7" s="25"/>
      <c r="C7" s="4" t="s">
        <v>91</v>
      </c>
      <c r="D7" s="4">
        <v>0.13500000000000001</v>
      </c>
      <c r="E7" s="4">
        <v>0.158</v>
      </c>
      <c r="F7" s="4">
        <v>0.11</v>
      </c>
      <c r="G7" s="4">
        <v>0.21</v>
      </c>
    </row>
    <row r="8" spans="1:7" ht="16" x14ac:dyDescent="0.4">
      <c r="A8" s="26"/>
      <c r="B8" s="25"/>
      <c r="C8" s="4" t="s">
        <v>92</v>
      </c>
      <c r="D8" s="4">
        <v>0.13500000000000001</v>
      </c>
      <c r="E8" s="4">
        <v>0.90400000000000003</v>
      </c>
      <c r="F8" s="4">
        <v>0.11</v>
      </c>
      <c r="G8" s="4">
        <v>2.9529999999999998</v>
      </c>
    </row>
    <row r="9" spans="1:7" ht="16" x14ac:dyDescent="0.4">
      <c r="A9" s="26"/>
      <c r="B9" s="25"/>
      <c r="C9" s="4" t="s">
        <v>93</v>
      </c>
      <c r="D9" s="4">
        <v>0.13500000000000001</v>
      </c>
      <c r="E9" s="4">
        <v>0.65200000000000002</v>
      </c>
      <c r="F9" s="4">
        <v>0.11</v>
      </c>
      <c r="G9" s="4">
        <v>2.3620000000000001</v>
      </c>
    </row>
    <row r="10" spans="1:7" ht="16" x14ac:dyDescent="0.4">
      <c r="A10" s="26"/>
      <c r="B10" s="25"/>
      <c r="C10" s="4" t="s">
        <v>94</v>
      </c>
      <c r="D10" s="4">
        <v>0.13500000000000001</v>
      </c>
      <c r="E10" s="4">
        <v>0.39</v>
      </c>
      <c r="F10" s="4">
        <v>0.11</v>
      </c>
      <c r="G10" s="4">
        <v>1.768</v>
      </c>
    </row>
    <row r="11" spans="1:7" ht="16" x14ac:dyDescent="0.4">
      <c r="A11" s="26"/>
      <c r="B11" s="25" t="s">
        <v>32</v>
      </c>
      <c r="C11" s="4" t="s">
        <v>89</v>
      </c>
      <c r="D11" s="4">
        <v>0.161</v>
      </c>
      <c r="E11" s="4">
        <v>0.41399999999999998</v>
      </c>
      <c r="F11" s="4">
        <v>0.153</v>
      </c>
      <c r="G11" s="4">
        <v>0.185</v>
      </c>
    </row>
    <row r="12" spans="1:7" ht="16" x14ac:dyDescent="0.4">
      <c r="A12" s="26"/>
      <c r="B12" s="25"/>
      <c r="C12" s="4" t="s">
        <v>90</v>
      </c>
      <c r="D12" s="4">
        <v>0.161</v>
      </c>
      <c r="E12" s="4">
        <v>0.68100000000000005</v>
      </c>
      <c r="F12" s="4">
        <v>0.153</v>
      </c>
      <c r="G12" s="4">
        <v>0.72399999999999998</v>
      </c>
    </row>
    <row r="13" spans="1:7" ht="16" x14ac:dyDescent="0.4">
      <c r="A13" s="26"/>
      <c r="B13" s="25"/>
      <c r="C13" s="4" t="s">
        <v>91</v>
      </c>
      <c r="D13" s="4">
        <v>0.161</v>
      </c>
      <c r="E13" s="4">
        <v>0.53300000000000003</v>
      </c>
      <c r="F13" s="4">
        <v>0.153</v>
      </c>
      <c r="G13" s="4">
        <v>0.29299999999999998</v>
      </c>
    </row>
    <row r="14" spans="1:7" ht="16" x14ac:dyDescent="0.4">
      <c r="A14" s="26"/>
      <c r="B14" s="25"/>
      <c r="C14" s="4" t="s">
        <v>92</v>
      </c>
      <c r="D14" s="4">
        <v>0.161</v>
      </c>
      <c r="E14" s="4">
        <v>1.024</v>
      </c>
      <c r="F14" s="4">
        <v>0.153</v>
      </c>
      <c r="G14" s="4">
        <v>3.0019999999999998</v>
      </c>
    </row>
    <row r="15" spans="1:7" ht="16" x14ac:dyDescent="0.4">
      <c r="A15" s="26"/>
      <c r="B15" s="25"/>
      <c r="C15" s="4" t="s">
        <v>93</v>
      </c>
      <c r="D15" s="4">
        <v>0.161</v>
      </c>
      <c r="E15" s="4">
        <v>0.86799999999999999</v>
      </c>
      <c r="F15" s="4">
        <v>0.153</v>
      </c>
      <c r="G15" s="4">
        <v>2.4129999999999998</v>
      </c>
    </row>
    <row r="16" spans="1:7" ht="16" x14ac:dyDescent="0.4">
      <c r="A16" s="26"/>
      <c r="B16" s="25"/>
      <c r="C16" s="4" t="s">
        <v>94</v>
      </c>
      <c r="D16" s="4">
        <v>0.161</v>
      </c>
      <c r="E16" s="4">
        <v>0.748</v>
      </c>
      <c r="F16" s="4">
        <v>0.153</v>
      </c>
      <c r="G16" s="4">
        <v>1.7849999999999999</v>
      </c>
    </row>
    <row r="17" spans="1:7" ht="16" x14ac:dyDescent="0.4">
      <c r="A17" s="26" t="s">
        <v>33</v>
      </c>
      <c r="B17" s="25" t="s">
        <v>34</v>
      </c>
      <c r="C17" s="4" t="s">
        <v>95</v>
      </c>
      <c r="D17" s="4">
        <v>0.114</v>
      </c>
      <c r="E17" s="4">
        <v>7.9000000000000001E-2</v>
      </c>
      <c r="F17" s="4">
        <v>0.14499999999999999</v>
      </c>
      <c r="G17" s="4">
        <v>0.32400000000000001</v>
      </c>
    </row>
    <row r="18" spans="1:7" ht="16" x14ac:dyDescent="0.4">
      <c r="A18" s="26"/>
      <c r="B18" s="25"/>
      <c r="C18" s="4" t="s">
        <v>96</v>
      </c>
      <c r="D18" s="4">
        <v>0.114</v>
      </c>
      <c r="E18" s="4">
        <v>0.55500000000000005</v>
      </c>
      <c r="F18" s="4">
        <v>0.14499999999999999</v>
      </c>
      <c r="G18" s="4">
        <v>0.314</v>
      </c>
    </row>
    <row r="19" spans="1:7" ht="16" x14ac:dyDescent="0.4">
      <c r="A19" s="26"/>
      <c r="B19" s="25"/>
      <c r="C19" s="4" t="s">
        <v>92</v>
      </c>
      <c r="D19" s="4">
        <v>0.114</v>
      </c>
      <c r="E19" s="4">
        <v>0.98799999999999999</v>
      </c>
      <c r="F19" s="4">
        <v>0.14499999999999999</v>
      </c>
      <c r="G19" s="4">
        <v>2.766</v>
      </c>
    </row>
    <row r="20" spans="1:7" ht="16" x14ac:dyDescent="0.4">
      <c r="A20" s="26"/>
      <c r="B20" s="25"/>
      <c r="C20" s="4" t="s">
        <v>93</v>
      </c>
      <c r="D20" s="4">
        <v>0.114</v>
      </c>
      <c r="E20" s="4">
        <v>0.73</v>
      </c>
      <c r="F20" s="4">
        <v>0.14499999999999999</v>
      </c>
      <c r="G20" s="4">
        <v>2.177</v>
      </c>
    </row>
    <row r="21" spans="1:7" ht="16" x14ac:dyDescent="0.4">
      <c r="A21" s="26"/>
      <c r="B21" s="25"/>
      <c r="C21" s="4" t="s">
        <v>94</v>
      </c>
      <c r="D21" s="4">
        <v>0.114</v>
      </c>
      <c r="E21" s="4">
        <v>0.44600000000000001</v>
      </c>
      <c r="F21" s="4">
        <v>0.14499999999999999</v>
      </c>
      <c r="G21" s="4">
        <v>1.552</v>
      </c>
    </row>
    <row r="22" spans="1:7" ht="16" x14ac:dyDescent="0.4">
      <c r="A22" s="26"/>
      <c r="B22" s="25" t="s">
        <v>35</v>
      </c>
      <c r="C22" s="4" t="s">
        <v>95</v>
      </c>
      <c r="D22" s="4">
        <v>9.1999999999999998E-2</v>
      </c>
      <c r="E22" s="4">
        <v>0.248</v>
      </c>
      <c r="F22" s="4">
        <v>0.20599999999999999</v>
      </c>
      <c r="G22" s="4">
        <v>0.433</v>
      </c>
    </row>
    <row r="23" spans="1:7" ht="16" x14ac:dyDescent="0.4">
      <c r="A23" s="26"/>
      <c r="B23" s="25"/>
      <c r="C23" s="4" t="s">
        <v>96</v>
      </c>
      <c r="D23" s="4">
        <v>9.1999999999999998E-2</v>
      </c>
      <c r="E23" s="4">
        <v>0.67700000000000005</v>
      </c>
      <c r="F23" s="4">
        <v>0.20599999999999999</v>
      </c>
      <c r="G23" s="4">
        <v>0.6</v>
      </c>
    </row>
    <row r="24" spans="1:7" ht="16" x14ac:dyDescent="0.4">
      <c r="A24" s="26"/>
      <c r="B24" s="25"/>
      <c r="C24" s="4" t="s">
        <v>92</v>
      </c>
      <c r="D24" s="4">
        <v>9.1999999999999998E-2</v>
      </c>
      <c r="E24" s="4">
        <v>0.82799999999999996</v>
      </c>
      <c r="F24" s="4">
        <v>0.20599999999999999</v>
      </c>
      <c r="G24" s="4">
        <v>2.581</v>
      </c>
    </row>
    <row r="25" spans="1:7" ht="16" x14ac:dyDescent="0.4">
      <c r="A25" s="26"/>
      <c r="B25" s="25"/>
      <c r="C25" s="4" t="s">
        <v>93</v>
      </c>
      <c r="D25" s="4">
        <v>9.1999999999999998E-2</v>
      </c>
      <c r="E25" s="4">
        <v>0.55000000000000004</v>
      </c>
      <c r="F25" s="4">
        <v>0.20599999999999999</v>
      </c>
      <c r="G25" s="4">
        <v>1.99</v>
      </c>
    </row>
    <row r="26" spans="1:7" ht="16" x14ac:dyDescent="0.4">
      <c r="A26" s="26"/>
      <c r="B26" s="25"/>
      <c r="C26" s="4" t="s">
        <v>94</v>
      </c>
      <c r="D26" s="4">
        <v>9.1999999999999998E-2</v>
      </c>
      <c r="E26" s="4">
        <v>0.23300000000000001</v>
      </c>
      <c r="F26" s="4">
        <v>0.20599999999999999</v>
      </c>
      <c r="G26" s="4">
        <v>1.403</v>
      </c>
    </row>
    <row r="27" spans="1:7" ht="16" x14ac:dyDescent="0.4">
      <c r="A27" s="26"/>
      <c r="B27" s="25" t="s">
        <v>36</v>
      </c>
      <c r="C27" s="4" t="s">
        <v>95</v>
      </c>
      <c r="D27" s="4">
        <v>0.11700000000000001</v>
      </c>
      <c r="E27" s="4">
        <v>0.11600000000000001</v>
      </c>
      <c r="F27" s="4">
        <v>0.13700000000000001</v>
      </c>
      <c r="G27" s="4">
        <v>0.23400000000000001</v>
      </c>
    </row>
    <row r="28" spans="1:7" ht="16" x14ac:dyDescent="0.4">
      <c r="A28" s="26"/>
      <c r="B28" s="25"/>
      <c r="C28" s="4" t="s">
        <v>96</v>
      </c>
      <c r="D28" s="4">
        <v>0.11700000000000001</v>
      </c>
      <c r="E28" s="4">
        <v>0.54400000000000004</v>
      </c>
      <c r="F28" s="4">
        <v>0.13700000000000001</v>
      </c>
      <c r="G28" s="4">
        <v>0.33200000000000002</v>
      </c>
    </row>
    <row r="29" spans="1:7" ht="16" x14ac:dyDescent="0.4">
      <c r="A29" s="26"/>
      <c r="B29" s="25"/>
      <c r="C29" s="4" t="s">
        <v>92</v>
      </c>
      <c r="D29" s="4">
        <v>0.11700000000000001</v>
      </c>
      <c r="E29" s="4">
        <v>0.92300000000000004</v>
      </c>
      <c r="F29" s="4">
        <v>0.13700000000000001</v>
      </c>
      <c r="G29" s="4">
        <v>2.847</v>
      </c>
    </row>
    <row r="30" spans="1:7" ht="16" x14ac:dyDescent="0.4">
      <c r="A30" s="26"/>
      <c r="B30" s="25"/>
      <c r="C30" s="4" t="s">
        <v>93</v>
      </c>
      <c r="D30" s="4">
        <v>0.11700000000000001</v>
      </c>
      <c r="E30" s="4">
        <v>0.66700000000000004</v>
      </c>
      <c r="F30" s="4">
        <v>0.13700000000000001</v>
      </c>
      <c r="G30" s="4">
        <v>2.2559999999999998</v>
      </c>
    </row>
    <row r="31" spans="1:7" ht="16" x14ac:dyDescent="0.4">
      <c r="A31" s="26"/>
      <c r="B31" s="25"/>
      <c r="C31" s="4" t="s">
        <v>94</v>
      </c>
      <c r="D31" s="4">
        <v>0.11700000000000001</v>
      </c>
      <c r="E31" s="4">
        <v>0.39300000000000002</v>
      </c>
      <c r="F31" s="4">
        <v>0.13700000000000001</v>
      </c>
      <c r="G31" s="4">
        <v>1.647</v>
      </c>
    </row>
    <row r="32" spans="1:7" ht="16" x14ac:dyDescent="0.4">
      <c r="A32" s="26" t="s">
        <v>37</v>
      </c>
      <c r="B32" s="25" t="s">
        <v>38</v>
      </c>
      <c r="C32" s="4" t="s">
        <v>95</v>
      </c>
      <c r="D32" s="4">
        <v>6.2E-2</v>
      </c>
      <c r="E32" s="4">
        <v>1.032</v>
      </c>
      <c r="F32" s="4">
        <v>8.1000000000000003E-2</v>
      </c>
      <c r="G32" s="4">
        <v>2.9369999999999998</v>
      </c>
    </row>
    <row r="33" spans="1:7" ht="16" x14ac:dyDescent="0.4">
      <c r="A33" s="26"/>
      <c r="B33" s="25"/>
      <c r="C33" s="4" t="s">
        <v>96</v>
      </c>
      <c r="D33" s="4">
        <v>6.2E-2</v>
      </c>
      <c r="E33" s="4">
        <v>0.99399999999999999</v>
      </c>
      <c r="F33" s="4">
        <v>8.1000000000000003E-2</v>
      </c>
      <c r="G33" s="4">
        <v>3.0579999999999998</v>
      </c>
    </row>
    <row r="34" spans="1:7" ht="16" x14ac:dyDescent="0.4">
      <c r="A34" s="26"/>
      <c r="B34" s="25"/>
      <c r="C34" s="4" t="s">
        <v>89</v>
      </c>
      <c r="D34" s="4">
        <v>6.2E-2</v>
      </c>
      <c r="E34" s="4">
        <v>1.0249999999999999</v>
      </c>
      <c r="F34" s="4">
        <v>8.1000000000000003E-2</v>
      </c>
      <c r="G34" s="4">
        <v>2.8809999999999998</v>
      </c>
    </row>
    <row r="35" spans="1:7" ht="16" x14ac:dyDescent="0.4">
      <c r="A35" s="26"/>
      <c r="B35" s="25"/>
      <c r="C35" s="4" t="s">
        <v>90</v>
      </c>
      <c r="D35" s="4">
        <v>6.2E-2</v>
      </c>
      <c r="E35" s="4">
        <v>0.92600000000000005</v>
      </c>
      <c r="F35" s="4">
        <v>8.1000000000000003E-2</v>
      </c>
      <c r="G35" s="4">
        <v>2.3769999999999998</v>
      </c>
    </row>
    <row r="36" spans="1:7" ht="16" x14ac:dyDescent="0.4">
      <c r="A36" s="26"/>
      <c r="B36" s="25"/>
      <c r="C36" s="4" t="s">
        <v>91</v>
      </c>
      <c r="D36" s="4">
        <v>6.2E-2</v>
      </c>
      <c r="E36" s="4">
        <v>1.006</v>
      </c>
      <c r="F36" s="4">
        <v>8.1000000000000003E-2</v>
      </c>
      <c r="G36" s="4">
        <v>2.8279999999999998</v>
      </c>
    </row>
    <row r="37" spans="1:7" ht="16" x14ac:dyDescent="0.4">
      <c r="A37" s="26"/>
      <c r="B37" s="25" t="s">
        <v>39</v>
      </c>
      <c r="C37" s="4" t="s">
        <v>95</v>
      </c>
      <c r="D37" s="4">
        <v>4.1000000000000002E-2</v>
      </c>
      <c r="E37" s="4">
        <v>0.76100000000000001</v>
      </c>
      <c r="F37" s="4">
        <v>0.14099999999999999</v>
      </c>
      <c r="G37" s="4">
        <v>2.399</v>
      </c>
    </row>
    <row r="38" spans="1:7" ht="16" x14ac:dyDescent="0.4">
      <c r="A38" s="26"/>
      <c r="B38" s="25"/>
      <c r="C38" s="4" t="s">
        <v>96</v>
      </c>
      <c r="D38" s="4">
        <v>4.1000000000000002E-2</v>
      </c>
      <c r="E38" s="4">
        <v>0.83599999999999997</v>
      </c>
      <c r="F38" s="4">
        <v>0.14099999999999999</v>
      </c>
      <c r="G38" s="4">
        <v>2.4630000000000001</v>
      </c>
    </row>
    <row r="39" spans="1:7" ht="16" x14ac:dyDescent="0.4">
      <c r="A39" s="26"/>
      <c r="B39" s="25"/>
      <c r="C39" s="4" t="s">
        <v>89</v>
      </c>
      <c r="D39" s="4">
        <v>4.1000000000000002E-2</v>
      </c>
      <c r="E39" s="4">
        <v>0.76400000000000001</v>
      </c>
      <c r="F39" s="4">
        <v>0.14099999999999999</v>
      </c>
      <c r="G39" s="4">
        <v>2.2930000000000001</v>
      </c>
    </row>
    <row r="40" spans="1:7" ht="16" x14ac:dyDescent="0.4">
      <c r="A40" s="26"/>
      <c r="B40" s="25"/>
      <c r="C40" s="4" t="s">
        <v>90</v>
      </c>
      <c r="D40" s="4">
        <v>4.1000000000000002E-2</v>
      </c>
      <c r="E40" s="4">
        <v>0.63700000000000001</v>
      </c>
      <c r="F40" s="4">
        <v>0.14099999999999999</v>
      </c>
      <c r="G40" s="4">
        <v>1.861</v>
      </c>
    </row>
    <row r="41" spans="1:7" ht="16" x14ac:dyDescent="0.4">
      <c r="A41" s="26"/>
      <c r="B41" s="25"/>
      <c r="C41" s="4" t="s">
        <v>91</v>
      </c>
      <c r="D41" s="4">
        <v>4.1000000000000002E-2</v>
      </c>
      <c r="E41" s="4">
        <v>0.73099999999999998</v>
      </c>
      <c r="F41" s="4">
        <v>0.14099999999999999</v>
      </c>
      <c r="G41" s="4">
        <v>2.2650000000000001</v>
      </c>
    </row>
    <row r="42" spans="1:7" ht="16" x14ac:dyDescent="0.4">
      <c r="A42" s="26"/>
      <c r="B42" s="25" t="s">
        <v>40</v>
      </c>
      <c r="C42" s="4" t="s">
        <v>95</v>
      </c>
      <c r="D42" s="4">
        <v>3.4000000000000002E-2</v>
      </c>
      <c r="E42" s="4">
        <v>0.45500000000000002</v>
      </c>
      <c r="F42" s="4">
        <v>0.40600000000000003</v>
      </c>
      <c r="G42" s="4">
        <v>1.893</v>
      </c>
    </row>
    <row r="43" spans="1:7" ht="16" x14ac:dyDescent="0.4">
      <c r="A43" s="26"/>
      <c r="B43" s="25"/>
      <c r="C43" s="4" t="s">
        <v>96</v>
      </c>
      <c r="D43" s="4">
        <v>3.4000000000000002E-2</v>
      </c>
      <c r="E43" s="4">
        <v>0.73699999999999999</v>
      </c>
      <c r="F43" s="4">
        <v>0.40600000000000003</v>
      </c>
      <c r="G43" s="4">
        <v>1.9339999999999999</v>
      </c>
    </row>
    <row r="44" spans="1:7" ht="16" x14ac:dyDescent="0.4">
      <c r="A44" s="26"/>
      <c r="B44" s="25"/>
      <c r="C44" s="4" t="s">
        <v>89</v>
      </c>
      <c r="D44" s="4">
        <v>3.4000000000000002E-2</v>
      </c>
      <c r="E44" s="4">
        <v>0.48199999999999998</v>
      </c>
      <c r="F44" s="4">
        <v>0.40600000000000003</v>
      </c>
      <c r="G44" s="4">
        <v>1.7749999999999999</v>
      </c>
    </row>
    <row r="45" spans="1:7" ht="16" x14ac:dyDescent="0.4">
      <c r="A45" s="26"/>
      <c r="B45" s="25"/>
      <c r="C45" s="4" t="s">
        <v>90</v>
      </c>
      <c r="D45" s="4">
        <v>3.4000000000000002E-2</v>
      </c>
      <c r="E45" s="4">
        <v>0.29199999999999998</v>
      </c>
      <c r="F45" s="4">
        <v>0.40600000000000003</v>
      </c>
      <c r="G45" s="4">
        <v>1.393</v>
      </c>
    </row>
    <row r="46" spans="1:7" ht="16" x14ac:dyDescent="0.4">
      <c r="A46" s="26"/>
      <c r="B46" s="25"/>
      <c r="C46" s="4" t="s">
        <v>91</v>
      </c>
      <c r="D46" s="4">
        <v>3.4000000000000002E-2</v>
      </c>
      <c r="E46" s="4">
        <v>0.41799999999999998</v>
      </c>
      <c r="F46" s="4">
        <v>0.40600000000000003</v>
      </c>
      <c r="G46" s="4">
        <v>1.7549999999999999</v>
      </c>
    </row>
    <row r="47" spans="1:7" ht="16" x14ac:dyDescent="0.4">
      <c r="A47" s="26" t="s">
        <v>41</v>
      </c>
      <c r="B47" s="25" t="s">
        <v>42</v>
      </c>
      <c r="C47" s="4" t="s">
        <v>97</v>
      </c>
      <c r="D47" s="4">
        <v>6.2E-2</v>
      </c>
      <c r="E47" s="4">
        <v>0.33400000000000002</v>
      </c>
      <c r="F47" s="4">
        <v>0.16300000000000001</v>
      </c>
      <c r="G47" s="4">
        <v>0.61</v>
      </c>
    </row>
    <row r="48" spans="1:7" ht="16" x14ac:dyDescent="0.4">
      <c r="A48" s="26"/>
      <c r="B48" s="25"/>
      <c r="C48" s="4" t="s">
        <v>98</v>
      </c>
      <c r="D48" s="4">
        <v>6.2E-2</v>
      </c>
      <c r="E48" s="4">
        <v>0.56000000000000005</v>
      </c>
      <c r="F48" s="4">
        <v>0.16300000000000001</v>
      </c>
      <c r="G48" s="4">
        <v>0.31900000000000001</v>
      </c>
    </row>
    <row r="49" spans="1:7" ht="16" x14ac:dyDescent="0.4">
      <c r="A49" s="26"/>
      <c r="B49" s="25"/>
      <c r="C49" s="4" t="s">
        <v>99</v>
      </c>
      <c r="D49" s="4">
        <v>6.2E-2</v>
      </c>
      <c r="E49" s="4">
        <v>0.28399999999999997</v>
      </c>
      <c r="F49" s="4">
        <v>0.16300000000000001</v>
      </c>
      <c r="G49" s="4">
        <v>0.41499999999999998</v>
      </c>
    </row>
    <row r="50" spans="1:7" ht="16" x14ac:dyDescent="0.4">
      <c r="A50" s="26"/>
      <c r="B50" s="25"/>
      <c r="C50" s="4" t="s">
        <v>100</v>
      </c>
      <c r="D50" s="4">
        <v>6.2E-2</v>
      </c>
      <c r="E50" s="4">
        <v>0.97799999999999998</v>
      </c>
      <c r="F50" s="4">
        <v>0.16300000000000001</v>
      </c>
      <c r="G50" s="4">
        <v>0.371</v>
      </c>
    </row>
    <row r="51" spans="1:7" ht="16" x14ac:dyDescent="0.4">
      <c r="A51" s="26"/>
      <c r="B51" s="25"/>
      <c r="C51" s="4" t="s">
        <v>101</v>
      </c>
      <c r="D51" s="4">
        <v>6.2E-2</v>
      </c>
      <c r="E51" s="4">
        <v>0.70699999999999996</v>
      </c>
      <c r="F51" s="4">
        <v>0.16300000000000001</v>
      </c>
      <c r="G51" s="4">
        <v>0.42499999999999999</v>
      </c>
    </row>
    <row r="52" spans="1:7" ht="16" x14ac:dyDescent="0.4">
      <c r="A52" s="26"/>
      <c r="B52" s="25" t="s">
        <v>43</v>
      </c>
      <c r="C52" s="4" t="s">
        <v>97</v>
      </c>
      <c r="D52" s="4">
        <v>3.9E-2</v>
      </c>
      <c r="E52" s="4">
        <v>7.4999999999999997E-2</v>
      </c>
      <c r="F52" s="4">
        <v>0.28799999999999998</v>
      </c>
      <c r="G52" s="4">
        <v>0.96</v>
      </c>
    </row>
    <row r="53" spans="1:7" ht="16" x14ac:dyDescent="0.4">
      <c r="A53" s="26"/>
      <c r="B53" s="25"/>
      <c r="C53" s="4" t="s">
        <v>98</v>
      </c>
      <c r="D53" s="4">
        <v>3.9E-2</v>
      </c>
      <c r="E53" s="4">
        <v>0.624</v>
      </c>
      <c r="F53" s="4">
        <v>0.28799999999999998</v>
      </c>
      <c r="G53" s="4">
        <v>0.63600000000000001</v>
      </c>
    </row>
    <row r="54" spans="1:7" ht="16" x14ac:dyDescent="0.4">
      <c r="A54" s="26"/>
      <c r="B54" s="25"/>
      <c r="C54" s="4" t="s">
        <v>99</v>
      </c>
      <c r="D54" s="4">
        <v>3.9E-2</v>
      </c>
      <c r="E54" s="4">
        <v>0.18099999999999999</v>
      </c>
      <c r="F54" s="4">
        <v>0.28799999999999998</v>
      </c>
      <c r="G54" s="4">
        <v>0.76200000000000001</v>
      </c>
    </row>
    <row r="55" spans="1:7" ht="16" x14ac:dyDescent="0.4">
      <c r="A55" s="26"/>
      <c r="B55" s="25"/>
      <c r="C55" s="4" t="s">
        <v>100</v>
      </c>
      <c r="D55" s="4">
        <v>3.9E-2</v>
      </c>
      <c r="E55" s="4">
        <v>0.751</v>
      </c>
      <c r="F55" s="4">
        <v>0.28799999999999998</v>
      </c>
      <c r="G55" s="4">
        <v>0.74099999999999999</v>
      </c>
    </row>
    <row r="56" spans="1:7" ht="16" x14ac:dyDescent="0.4">
      <c r="A56" s="26"/>
      <c r="B56" s="25"/>
      <c r="C56" s="4" t="s">
        <v>101</v>
      </c>
      <c r="D56" s="4">
        <v>3.9E-2</v>
      </c>
      <c r="E56" s="4">
        <v>0.45700000000000002</v>
      </c>
      <c r="F56" s="4">
        <v>0.28799999999999998</v>
      </c>
      <c r="G56" s="4">
        <v>0.75800000000000001</v>
      </c>
    </row>
    <row r="57" spans="1:7" ht="16" x14ac:dyDescent="0.4">
      <c r="A57" s="26"/>
      <c r="B57" s="25" t="s">
        <v>44</v>
      </c>
      <c r="C57" s="4" t="s">
        <v>97</v>
      </c>
      <c r="D57" s="4">
        <v>0.104</v>
      </c>
      <c r="E57" s="4">
        <v>0.20300000000000001</v>
      </c>
      <c r="F57" s="4">
        <v>0.221</v>
      </c>
      <c r="G57" s="4">
        <v>0.92700000000000005</v>
      </c>
    </row>
    <row r="58" spans="1:7" ht="16" x14ac:dyDescent="0.4">
      <c r="A58" s="26"/>
      <c r="B58" s="25"/>
      <c r="C58" s="4" t="s">
        <v>98</v>
      </c>
      <c r="D58" s="4">
        <v>0.104</v>
      </c>
      <c r="E58" s="4">
        <v>0.46400000000000002</v>
      </c>
      <c r="F58" s="4">
        <v>0.221</v>
      </c>
      <c r="G58" s="4">
        <v>0.61099999999999999</v>
      </c>
    </row>
    <row r="59" spans="1:7" ht="16" x14ac:dyDescent="0.4">
      <c r="A59" s="26"/>
      <c r="B59" s="25"/>
      <c r="C59" s="4" t="s">
        <v>99</v>
      </c>
      <c r="D59" s="4">
        <v>0.104</v>
      </c>
      <c r="E59" s="4">
        <v>0.11</v>
      </c>
      <c r="F59" s="4">
        <v>0.221</v>
      </c>
      <c r="G59" s="4">
        <v>0.73</v>
      </c>
    </row>
    <row r="60" spans="1:7" ht="16" x14ac:dyDescent="0.4">
      <c r="A60" s="26"/>
      <c r="B60" s="25"/>
      <c r="C60" s="4" t="s">
        <v>100</v>
      </c>
      <c r="D60" s="4">
        <v>0.104</v>
      </c>
      <c r="E60" s="4">
        <v>0.91500000000000004</v>
      </c>
      <c r="F60" s="4">
        <v>0.221</v>
      </c>
      <c r="G60" s="4">
        <v>0.71199999999999997</v>
      </c>
    </row>
    <row r="61" spans="1:7" ht="16" x14ac:dyDescent="0.4">
      <c r="A61" s="26"/>
      <c r="B61" s="25"/>
      <c r="C61" s="4" t="s">
        <v>101</v>
      </c>
      <c r="D61" s="4">
        <v>0.104</v>
      </c>
      <c r="E61" s="4">
        <v>0.61899999999999999</v>
      </c>
      <c r="F61" s="4">
        <v>0.221</v>
      </c>
      <c r="G61" s="4">
        <v>0.73699999999999999</v>
      </c>
    </row>
    <row r="62" spans="1:7" ht="16" x14ac:dyDescent="0.4">
      <c r="A62" s="26" t="s">
        <v>45</v>
      </c>
      <c r="B62" s="25" t="s">
        <v>31</v>
      </c>
      <c r="C62" s="4" t="s">
        <v>102</v>
      </c>
      <c r="D62" s="4">
        <v>0.14699999999999999</v>
      </c>
      <c r="E62" s="4">
        <v>0.34200000000000003</v>
      </c>
      <c r="F62" s="4">
        <v>0.16800000000000001</v>
      </c>
      <c r="G62" s="4">
        <v>0.57699999999999996</v>
      </c>
    </row>
    <row r="63" spans="1:7" ht="16" x14ac:dyDescent="0.4">
      <c r="A63" s="26"/>
      <c r="B63" s="25"/>
      <c r="C63" s="4" t="s">
        <v>103</v>
      </c>
      <c r="D63" s="4">
        <v>0.14699999999999999</v>
      </c>
      <c r="E63" s="4">
        <v>0.16500000000000001</v>
      </c>
      <c r="F63" s="4">
        <v>0.16800000000000001</v>
      </c>
      <c r="G63" s="4">
        <v>0.97699999999999998</v>
      </c>
    </row>
    <row r="64" spans="1:7" ht="16" x14ac:dyDescent="0.4">
      <c r="A64" s="26"/>
      <c r="B64" s="25"/>
      <c r="C64" s="4" t="s">
        <v>104</v>
      </c>
      <c r="D64" s="4">
        <v>0.14699999999999999</v>
      </c>
      <c r="E64" s="4">
        <v>0.246</v>
      </c>
      <c r="F64" s="4">
        <v>0.16800000000000001</v>
      </c>
      <c r="G64" s="4">
        <v>0.98099999999999998</v>
      </c>
    </row>
    <row r="65" spans="1:7" ht="16" x14ac:dyDescent="0.4">
      <c r="A65" s="26"/>
      <c r="B65" s="25"/>
      <c r="C65" s="4" t="s">
        <v>100</v>
      </c>
      <c r="D65" s="4">
        <v>0.14699999999999999</v>
      </c>
      <c r="E65" s="4">
        <v>0.68600000000000005</v>
      </c>
      <c r="F65" s="4">
        <v>0.16800000000000001</v>
      </c>
      <c r="G65" s="4">
        <v>0.379</v>
      </c>
    </row>
    <row r="66" spans="1:7" ht="16" x14ac:dyDescent="0.4">
      <c r="A66" s="26"/>
      <c r="B66" s="25"/>
      <c r="C66" s="4" t="s">
        <v>101</v>
      </c>
      <c r="D66" s="4">
        <v>0.14699999999999999</v>
      </c>
      <c r="E66" s="4">
        <v>0.39800000000000002</v>
      </c>
      <c r="F66" s="4">
        <v>0.16800000000000001</v>
      </c>
      <c r="G66" s="4">
        <v>0.41499999999999998</v>
      </c>
    </row>
    <row r="67" spans="1:7" ht="16" x14ac:dyDescent="0.4">
      <c r="A67" s="26"/>
      <c r="B67" s="25" t="s">
        <v>46</v>
      </c>
      <c r="C67" s="4" t="s">
        <v>102</v>
      </c>
      <c r="D67" s="4">
        <v>7.5999999999999998E-2</v>
      </c>
      <c r="E67" s="4">
        <v>0.66800000000000004</v>
      </c>
      <c r="F67" s="4">
        <v>0.309</v>
      </c>
      <c r="G67" s="4">
        <v>0.44</v>
      </c>
    </row>
    <row r="68" spans="1:7" ht="16" x14ac:dyDescent="0.4">
      <c r="A68" s="26"/>
      <c r="B68" s="25"/>
      <c r="C68" s="4" t="s">
        <v>103</v>
      </c>
      <c r="D68" s="4">
        <v>7.5999999999999998E-2</v>
      </c>
      <c r="E68" s="4">
        <v>0.64700000000000002</v>
      </c>
      <c r="F68" s="4">
        <v>0.309</v>
      </c>
      <c r="G68" s="4">
        <v>0.83699999999999997</v>
      </c>
    </row>
    <row r="69" spans="1:7" ht="16" x14ac:dyDescent="0.4">
      <c r="A69" s="26"/>
      <c r="B69" s="25"/>
      <c r="C69" s="4" t="s">
        <v>104</v>
      </c>
      <c r="D69" s="4">
        <v>7.5999999999999998E-2</v>
      </c>
      <c r="E69" s="4">
        <v>0.50600000000000001</v>
      </c>
      <c r="F69" s="4">
        <v>0.309</v>
      </c>
      <c r="G69" s="4">
        <v>0.84099999999999997</v>
      </c>
    </row>
    <row r="70" spans="1:7" ht="16" x14ac:dyDescent="0.4">
      <c r="A70" s="26"/>
      <c r="B70" s="25"/>
      <c r="C70" s="4" t="s">
        <v>100</v>
      </c>
      <c r="D70" s="4">
        <v>7.5999999999999998E-2</v>
      </c>
      <c r="E70" s="4">
        <v>1.2869999999999999</v>
      </c>
      <c r="F70" s="4">
        <v>0.309</v>
      </c>
      <c r="G70" s="4">
        <v>0.39200000000000002</v>
      </c>
    </row>
    <row r="71" spans="1:7" ht="16" x14ac:dyDescent="0.4">
      <c r="A71" s="26"/>
      <c r="B71" s="25"/>
      <c r="C71" s="4" t="s">
        <v>101</v>
      </c>
      <c r="D71" s="4">
        <v>7.5999999999999998E-2</v>
      </c>
      <c r="E71" s="4">
        <v>0.98899999999999999</v>
      </c>
      <c r="F71" s="4">
        <v>0.309</v>
      </c>
      <c r="G71" s="4">
        <v>0.32700000000000001</v>
      </c>
    </row>
    <row r="72" spans="1:7" ht="16" x14ac:dyDescent="0.4">
      <c r="A72" s="26"/>
      <c r="B72" s="25" t="s">
        <v>47</v>
      </c>
      <c r="C72" s="4" t="s">
        <v>102</v>
      </c>
      <c r="D72" s="4">
        <v>0.112</v>
      </c>
      <c r="E72" s="4">
        <v>0.32</v>
      </c>
      <c r="F72" s="4">
        <v>0.32300000000000001</v>
      </c>
      <c r="G72" s="4">
        <v>0.52700000000000002</v>
      </c>
    </row>
    <row r="73" spans="1:7" ht="16" x14ac:dyDescent="0.4">
      <c r="A73" s="26"/>
      <c r="B73" s="25"/>
      <c r="C73" s="4" t="s">
        <v>103</v>
      </c>
      <c r="D73" s="4">
        <v>0.112</v>
      </c>
      <c r="E73" s="4">
        <v>0.21</v>
      </c>
      <c r="F73" s="4">
        <v>0.32300000000000001</v>
      </c>
      <c r="G73" s="4">
        <v>0.89100000000000001</v>
      </c>
    </row>
    <row r="74" spans="1:7" ht="16" x14ac:dyDescent="0.4">
      <c r="A74" s="26"/>
      <c r="B74" s="25"/>
      <c r="C74" s="4" t="s">
        <v>104</v>
      </c>
      <c r="D74" s="4">
        <v>0.112</v>
      </c>
      <c r="E74" s="4">
        <v>0.154</v>
      </c>
      <c r="F74" s="4">
        <v>0.32300000000000001</v>
      </c>
      <c r="G74" s="4">
        <v>0.89100000000000001</v>
      </c>
    </row>
    <row r="75" spans="1:7" ht="16" x14ac:dyDescent="0.4">
      <c r="A75" s="26"/>
      <c r="B75" s="25"/>
      <c r="C75" s="4" t="s">
        <v>100</v>
      </c>
      <c r="D75" s="4">
        <v>0.112</v>
      </c>
      <c r="E75" s="4">
        <v>0.85</v>
      </c>
      <c r="F75" s="4">
        <v>0.32300000000000001</v>
      </c>
      <c r="G75" s="4">
        <v>0.38800000000000001</v>
      </c>
    </row>
    <row r="76" spans="1:7" ht="16" x14ac:dyDescent="0.4">
      <c r="A76" s="26"/>
      <c r="B76" s="25"/>
      <c r="C76" s="4" t="s">
        <v>101</v>
      </c>
      <c r="D76" s="4">
        <v>0.112</v>
      </c>
      <c r="E76" s="4">
        <v>0.55200000000000005</v>
      </c>
      <c r="F76" s="4">
        <v>0.32300000000000001</v>
      </c>
      <c r="G76" s="4">
        <v>0.36299999999999999</v>
      </c>
    </row>
    <row r="77" spans="1:7" ht="16" x14ac:dyDescent="0.4">
      <c r="A77" s="26" t="s">
        <v>48</v>
      </c>
      <c r="B77" s="25" t="s">
        <v>49</v>
      </c>
      <c r="C77" s="4" t="s">
        <v>102</v>
      </c>
      <c r="D77" s="4">
        <v>7.2999999999999995E-2</v>
      </c>
      <c r="E77" s="4">
        <v>0.379</v>
      </c>
      <c r="F77" s="4">
        <v>9.8000000000000004E-2</v>
      </c>
      <c r="G77" s="4">
        <v>0.39400000000000002</v>
      </c>
    </row>
    <row r="78" spans="1:7" ht="16" x14ac:dyDescent="0.4">
      <c r="A78" s="26"/>
      <c r="B78" s="25"/>
      <c r="C78" s="4" t="s">
        <v>103</v>
      </c>
      <c r="D78" s="4">
        <v>7.2999999999999995E-2</v>
      </c>
      <c r="E78" s="4">
        <v>0.47099999999999997</v>
      </c>
      <c r="F78" s="4">
        <v>9.8000000000000004E-2</v>
      </c>
      <c r="G78" s="4">
        <v>0.73099999999999998</v>
      </c>
    </row>
    <row r="79" spans="1:7" ht="16" x14ac:dyDescent="0.4">
      <c r="A79" s="26"/>
      <c r="B79" s="25"/>
      <c r="C79" s="4" t="s">
        <v>104</v>
      </c>
      <c r="D79" s="4">
        <v>7.2999999999999995E-2</v>
      </c>
      <c r="E79" s="4">
        <v>0.57699999999999996</v>
      </c>
      <c r="F79" s="4">
        <v>9.8000000000000004E-2</v>
      </c>
      <c r="G79" s="4">
        <v>0.72699999999999998</v>
      </c>
    </row>
    <row r="80" spans="1:7" ht="16" x14ac:dyDescent="0.4">
      <c r="A80" s="26"/>
      <c r="B80" s="25"/>
      <c r="C80" s="4" t="s">
        <v>97</v>
      </c>
      <c r="D80" s="4">
        <v>7.2999999999999995E-2</v>
      </c>
      <c r="E80" s="4">
        <v>0.52100000000000002</v>
      </c>
      <c r="F80" s="4">
        <v>9.8000000000000004E-2</v>
      </c>
      <c r="G80" s="4">
        <v>0.25700000000000001</v>
      </c>
    </row>
    <row r="81" spans="1:7" ht="16" x14ac:dyDescent="0.4">
      <c r="A81" s="26"/>
      <c r="B81" s="25"/>
      <c r="C81" s="4" t="s">
        <v>98</v>
      </c>
      <c r="D81" s="4">
        <v>7.2999999999999995E-2</v>
      </c>
      <c r="E81" s="4">
        <v>1.1259999999999999</v>
      </c>
      <c r="F81" s="4">
        <v>9.8000000000000004E-2</v>
      </c>
      <c r="G81" s="4">
        <v>0.18</v>
      </c>
    </row>
    <row r="82" spans="1:7" ht="16" x14ac:dyDescent="0.4">
      <c r="A82" s="26"/>
      <c r="B82" s="25"/>
      <c r="C82" s="4" t="s">
        <v>99</v>
      </c>
      <c r="D82" s="4">
        <v>7.2999999999999995E-2</v>
      </c>
      <c r="E82" s="4">
        <v>0.65500000000000003</v>
      </c>
      <c r="F82" s="4">
        <v>9.8000000000000004E-2</v>
      </c>
      <c r="G82" s="4">
        <v>0.125</v>
      </c>
    </row>
    <row r="83" spans="1:7" ht="16" x14ac:dyDescent="0.4">
      <c r="A83" s="26"/>
      <c r="B83" s="25" t="s">
        <v>50</v>
      </c>
      <c r="C83" s="4" t="s">
        <v>102</v>
      </c>
      <c r="D83" s="4">
        <v>0.111</v>
      </c>
      <c r="E83" s="4">
        <v>0.19700000000000001</v>
      </c>
      <c r="F83" s="4">
        <v>0.30299999999999999</v>
      </c>
      <c r="G83" s="4">
        <v>0.51200000000000001</v>
      </c>
    </row>
    <row r="84" spans="1:7" ht="16" x14ac:dyDescent="0.4">
      <c r="A84" s="26"/>
      <c r="B84" s="25"/>
      <c r="C84" s="4" t="s">
        <v>103</v>
      </c>
      <c r="D84" s="4">
        <v>0.111</v>
      </c>
      <c r="E84" s="4">
        <v>0.23400000000000001</v>
      </c>
      <c r="F84" s="4">
        <v>0.30299999999999999</v>
      </c>
      <c r="G84" s="4">
        <v>0.77300000000000002</v>
      </c>
    </row>
    <row r="85" spans="1:7" ht="16" x14ac:dyDescent="0.4">
      <c r="A85" s="26"/>
      <c r="B85" s="25"/>
      <c r="C85" s="4" t="s">
        <v>104</v>
      </c>
      <c r="D85" s="4">
        <v>0.111</v>
      </c>
      <c r="E85" s="4">
        <v>0.33</v>
      </c>
      <c r="F85" s="4">
        <v>0.30299999999999999</v>
      </c>
      <c r="G85" s="4">
        <v>0.76800000000000002</v>
      </c>
    </row>
    <row r="86" spans="1:7" ht="16" x14ac:dyDescent="0.4">
      <c r="A86" s="26"/>
      <c r="B86" s="25"/>
      <c r="C86" s="4" t="s">
        <v>97</v>
      </c>
      <c r="D86" s="4">
        <v>0.111</v>
      </c>
      <c r="E86" s="4">
        <v>0.27600000000000002</v>
      </c>
      <c r="F86" s="4">
        <v>0.30299999999999999</v>
      </c>
      <c r="G86" s="4">
        <v>0.39100000000000001</v>
      </c>
    </row>
    <row r="87" spans="1:7" ht="16" x14ac:dyDescent="0.4">
      <c r="A87" s="26"/>
      <c r="B87" s="25"/>
      <c r="C87" s="4" t="s">
        <v>98</v>
      </c>
      <c r="D87" s="4">
        <v>0.111</v>
      </c>
      <c r="E87" s="4">
        <v>0.872</v>
      </c>
      <c r="F87" s="4">
        <v>0.30299999999999999</v>
      </c>
      <c r="G87" s="4">
        <v>0.34499999999999997</v>
      </c>
    </row>
    <row r="88" spans="1:7" ht="16" x14ac:dyDescent="0.4">
      <c r="A88" s="26"/>
      <c r="B88" s="25"/>
      <c r="C88" s="4" t="s">
        <v>99</v>
      </c>
      <c r="D88" s="4">
        <v>0.111</v>
      </c>
      <c r="E88" s="4">
        <v>0.40400000000000003</v>
      </c>
      <c r="F88" s="4">
        <v>0.30299999999999999</v>
      </c>
      <c r="G88" s="4">
        <v>0.33700000000000002</v>
      </c>
    </row>
    <row r="89" spans="1:7" ht="16" x14ac:dyDescent="0.4">
      <c r="C89" s="4" t="s">
        <v>78</v>
      </c>
      <c r="D89" s="4">
        <f>MEDIAN(D5:D88)</f>
        <v>0.104</v>
      </c>
      <c r="E89" s="4">
        <f t="shared" ref="E89:G89" si="0">MEDIAN(E5:E88)</f>
        <v>0.55100000000000005</v>
      </c>
      <c r="F89" s="4">
        <f t="shared" si="0"/>
        <v>0.16300000000000001</v>
      </c>
      <c r="G89" s="18">
        <f t="shared" si="0"/>
        <v>0.74950000000000006</v>
      </c>
    </row>
    <row r="90" spans="1:7" x14ac:dyDescent="0.35">
      <c r="A90" s="23" t="s">
        <v>105</v>
      </c>
      <c r="B90" s="23"/>
    </row>
  </sheetData>
  <mergeCells count="22">
    <mergeCell ref="A62:A76"/>
    <mergeCell ref="A77:A88"/>
    <mergeCell ref="B32:B36"/>
    <mergeCell ref="A5:A16"/>
    <mergeCell ref="A17:A31"/>
    <mergeCell ref="A32:A46"/>
    <mergeCell ref="A47:A61"/>
    <mergeCell ref="B5:B10"/>
    <mergeCell ref="B11:B16"/>
    <mergeCell ref="B17:B21"/>
    <mergeCell ref="B22:B26"/>
    <mergeCell ref="B27:B31"/>
    <mergeCell ref="B67:B71"/>
    <mergeCell ref="B72:B76"/>
    <mergeCell ref="B77:B82"/>
    <mergeCell ref="B83:B88"/>
    <mergeCell ref="B37:B41"/>
    <mergeCell ref="B42:B46"/>
    <mergeCell ref="B47:B51"/>
    <mergeCell ref="B52:B56"/>
    <mergeCell ref="B57:B61"/>
    <mergeCell ref="B62:B6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ParamSpread</vt:lpstr>
      <vt:lpstr>Table 8 TransTest</vt:lpstr>
      <vt:lpstr>Table 9 Reprod. Floor</vt:lpstr>
      <vt:lpstr>Table 10 Cross-Cond Null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Johnson</dc:creator>
  <cp:lastModifiedBy>William Johnson</cp:lastModifiedBy>
  <dcterms:created xsi:type="dcterms:W3CDTF">2015-06-05T18:17:20Z</dcterms:created>
  <dcterms:modified xsi:type="dcterms:W3CDTF">2026-09-10T01:03:25Z</dcterms:modified>
</cp:coreProperties>
</file>