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342E4046-E447-477F-BA8E-0E2CBFAA7551}" xr6:coauthVersionLast="47" xr6:coauthVersionMax="47" xr10:uidLastSave="{00000000-0000-0000-0000-000000000000}"/>
  <bookViews>
    <workbookView xWindow="1450" yWindow="1030" windowWidth="17750" windowHeight="10970" xr2:uid="{00000000-000D-0000-FFFF-FFFF00000000}"/>
  </bookViews>
  <sheets>
    <sheet name="r_s fi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" l="1"/>
  <c r="H32" i="2"/>
  <c r="I33" i="2"/>
  <c r="I32" i="2"/>
  <c r="H31" i="2"/>
  <c r="H30" i="2"/>
  <c r="I31" i="2"/>
  <c r="I30" i="2"/>
  <c r="H29" i="2"/>
  <c r="H28" i="2"/>
  <c r="I29" i="2"/>
  <c r="I28" i="2"/>
  <c r="H27" i="2"/>
  <c r="H26" i="2"/>
  <c r="I27" i="2"/>
  <c r="I26" i="2"/>
  <c r="H25" i="2"/>
  <c r="H24" i="2"/>
  <c r="I25" i="2"/>
  <c r="I24" i="2"/>
  <c r="H23" i="2"/>
  <c r="H22" i="2"/>
  <c r="I23" i="2"/>
  <c r="I22" i="2"/>
  <c r="L29" i="2"/>
  <c r="L28" i="2"/>
  <c r="M29" i="2"/>
  <c r="M28" i="2"/>
  <c r="L27" i="2"/>
  <c r="L26" i="2"/>
  <c r="M27" i="2"/>
  <c r="M26" i="2"/>
  <c r="L25" i="2"/>
  <c r="L24" i="2"/>
  <c r="M25" i="2"/>
  <c r="M24" i="2"/>
  <c r="L23" i="2"/>
  <c r="L22" i="2"/>
  <c r="M23" i="2"/>
  <c r="M22" i="2"/>
  <c r="D5" i="2"/>
  <c r="C5" i="2"/>
</calcChain>
</file>

<file path=xl/sharedStrings.xml><?xml version="1.0" encoding="utf-8"?>
<sst xmlns="http://schemas.openxmlformats.org/spreadsheetml/2006/main" count="57" uniqueCount="37">
  <si>
    <t>Fitted interception r_s (favorable, Table 5) vs single-collector CFT collision-rate r_s from 5 correlations</t>
  </si>
  <si>
    <t>BLOCK A - correct A132 (glass 7.17e-21, quartz 1.96e-20) PRIMARY</t>
  </si>
  <si>
    <t>condition</t>
  </si>
  <si>
    <t>medium</t>
  </si>
  <si>
    <t>size_um</t>
  </si>
  <si>
    <t>v_mday</t>
  </si>
  <si>
    <t>fit r_s /m</t>
  </si>
  <si>
    <t>RT</t>
  </si>
  <si>
    <t>TE</t>
  </si>
  <si>
    <t>MPFJ</t>
  </si>
  <si>
    <t>NG</t>
  </si>
  <si>
    <t>LH</t>
  </si>
  <si>
    <t>fit/MPFJ</t>
  </si>
  <si>
    <t>GB Tong L</t>
  </si>
  <si>
    <t>glass</t>
  </si>
  <si>
    <t>GB Tong AB</t>
  </si>
  <si>
    <t>GB Tong CS</t>
  </si>
  <si>
    <t>Qz Tong O</t>
  </si>
  <si>
    <t>quartz</t>
  </si>
  <si>
    <t>Qz Li B</t>
  </si>
  <si>
    <t>Qz Li E</t>
  </si>
  <si>
    <t>Qz Li I</t>
  </si>
  <si>
    <t>GB Li B</t>
  </si>
  <si>
    <t>GB Li E</t>
  </si>
  <si>
    <t>GB Li H</t>
  </si>
  <si>
    <t>q</t>
  </si>
  <si>
    <t>GB</t>
  </si>
  <si>
    <t>QTZ</t>
  </si>
  <si>
    <r>
      <rPr>
        <i/>
        <sz val="11"/>
        <color theme="1"/>
        <rFont val="Symbol"/>
        <family val="1"/>
        <charset val="2"/>
      </rPr>
      <t>r</t>
    </r>
    <r>
      <rPr>
        <i/>
        <vertAlign val="subscript"/>
        <sz val="11"/>
        <color theme="1"/>
        <rFont val="Calibri"/>
        <family val="2"/>
        <scheme val="minor"/>
      </rPr>
      <t>colloid</t>
    </r>
    <r>
      <rPr>
        <sz val="11"/>
        <color theme="1"/>
        <rFont val="Calibri"/>
        <family val="2"/>
        <scheme val="minor"/>
      </rPr>
      <t xml:space="preserve"> (g/cm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</si>
  <si>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GEO</t>
  </si>
  <si>
    <r>
      <t>d</t>
    </r>
    <r>
      <rPr>
        <b/>
        <i/>
        <vertAlign val="subscript"/>
        <sz val="11"/>
        <rFont val="Calibri"/>
        <family val="2"/>
        <scheme val="minor"/>
      </rPr>
      <t>collector</t>
    </r>
    <r>
      <rPr>
        <b/>
        <i/>
        <sz val="11"/>
        <rFont val="Calibri"/>
        <family val="2"/>
        <scheme val="minor"/>
      </rPr>
      <t xml:space="preserve"> (</t>
    </r>
    <r>
      <rPr>
        <b/>
        <i/>
        <sz val="11"/>
        <rFont val="Symbol"/>
        <family val="1"/>
        <charset val="2"/>
      </rPr>
      <t>m</t>
    </r>
    <r>
      <rPr>
        <b/>
        <i/>
        <sz val="11"/>
        <rFont val="Calibri"/>
        <family val="2"/>
        <scheme val="minor"/>
      </rPr>
      <t>m)</t>
    </r>
  </si>
  <si>
    <r>
      <t>A</t>
    </r>
    <r>
      <rPr>
        <i/>
        <vertAlign val="subscript"/>
        <sz val="11"/>
        <color theme="1"/>
        <rFont val="Calibri"/>
        <family val="2"/>
        <scheme val="minor"/>
      </rPr>
      <t>132</t>
    </r>
  </si>
  <si>
    <t>1:1 line</t>
  </si>
  <si>
    <t>Corr_min</t>
  </si>
  <si>
    <t>Corr_max</t>
  </si>
  <si>
    <t>lines x</t>
  </si>
  <si>
    <t>lines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</si>
</sst>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name val="Symbol"/>
      <family val="1"/>
      <charset val="2"/>
    </font>
    <font>
      <b/>
      <i/>
      <sz val="11"/>
      <name val="Calibri"/>
      <family val="2"/>
      <scheme val="minor"/>
    </font>
    <font>
      <b/>
      <i/>
      <vertAlign val="subscript"/>
      <sz val="11"/>
      <name val="Calibri"/>
      <family val="2"/>
      <scheme val="minor"/>
    </font>
    <font>
      <b/>
      <i/>
      <sz val="11"/>
      <name val="Symbol"/>
      <family val="1"/>
      <charset val="2"/>
    </font>
    <font>
      <i/>
      <sz val="11"/>
      <color theme="1"/>
      <name val="Calibri"/>
      <family val="1"/>
      <charset val="2"/>
      <scheme val="minor"/>
    </font>
    <font>
      <i/>
      <sz val="11"/>
      <color theme="1"/>
      <name val="Symbol"/>
      <family val="1"/>
      <charset val="2"/>
    </font>
    <font>
      <i/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11" fillId="0" borderId="0" xfId="0" applyFont="1" applyAlignment="1">
      <alignment horizontal="right"/>
    </xf>
    <xf numFmtId="0" fontId="12" fillId="0" borderId="0" xfId="0" applyFont="1"/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00CC"/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7211225587581"/>
          <c:y val="4.4494442707296966E-2"/>
          <c:w val="0.72815914356053357"/>
          <c:h val="0.739561101793683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'r_s fit'!$G$9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xVal>
            <c:numRef>
              <c:f>'r_s fit'!$G$10:$G$15</c:f>
              <c:numCache>
                <c:formatCode>General</c:formatCode>
                <c:ptCount val="6"/>
                <c:pt idx="0">
                  <c:v>57.9</c:v>
                </c:pt>
                <c:pt idx="1">
                  <c:v>38.9</c:v>
                </c:pt>
                <c:pt idx="2">
                  <c:v>20.2</c:v>
                </c:pt>
                <c:pt idx="3">
                  <c:v>63.9</c:v>
                </c:pt>
                <c:pt idx="4">
                  <c:v>39.200000000000003</c:v>
                </c:pt>
                <c:pt idx="5">
                  <c:v>24.4</c:v>
                </c:pt>
              </c:numCache>
            </c:numRef>
          </c:xVal>
          <c:yVal>
            <c:numRef>
              <c:f>'r_s fit'!$F$10:$F$15</c:f>
              <c:numCache>
                <c:formatCode>General</c:formatCode>
                <c:ptCount val="6"/>
                <c:pt idx="0">
                  <c:v>47.5</c:v>
                </c:pt>
                <c:pt idx="1">
                  <c:v>30.2</c:v>
                </c:pt>
                <c:pt idx="2">
                  <c:v>15.2</c:v>
                </c:pt>
                <c:pt idx="3">
                  <c:v>49.9</c:v>
                </c:pt>
                <c:pt idx="4">
                  <c:v>30.2</c:v>
                </c:pt>
                <c:pt idx="5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1D-4508-9310-489A2ECB3C1E}"/>
            </c:ext>
          </c:extLst>
        </c:ser>
        <c:ser>
          <c:idx val="1"/>
          <c:order val="1"/>
          <c:tx>
            <c:strRef>
              <c:f>'r_s fit'!$H$9</c:f>
              <c:strCache>
                <c:ptCount val="1"/>
                <c:pt idx="0">
                  <c:v>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'r_s fit'!$H$10:$H$15</c:f>
              <c:numCache>
                <c:formatCode>General</c:formatCode>
                <c:ptCount val="6"/>
                <c:pt idx="0">
                  <c:v>54.8</c:v>
                </c:pt>
                <c:pt idx="1">
                  <c:v>33.6</c:v>
                </c:pt>
                <c:pt idx="2">
                  <c:v>15.9</c:v>
                </c:pt>
                <c:pt idx="3">
                  <c:v>57.1</c:v>
                </c:pt>
                <c:pt idx="4">
                  <c:v>34</c:v>
                </c:pt>
                <c:pt idx="5">
                  <c:v>20.399999999999999</c:v>
                </c:pt>
              </c:numCache>
            </c:numRef>
          </c:xVal>
          <c:yVal>
            <c:numRef>
              <c:f>'r_s fit'!$F$10:$F$15</c:f>
              <c:numCache>
                <c:formatCode>General</c:formatCode>
                <c:ptCount val="6"/>
                <c:pt idx="0">
                  <c:v>47.5</c:v>
                </c:pt>
                <c:pt idx="1">
                  <c:v>30.2</c:v>
                </c:pt>
                <c:pt idx="2">
                  <c:v>15.2</c:v>
                </c:pt>
                <c:pt idx="3">
                  <c:v>49.9</c:v>
                </c:pt>
                <c:pt idx="4">
                  <c:v>30.2</c:v>
                </c:pt>
                <c:pt idx="5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1D-4508-9310-489A2ECB3C1E}"/>
            </c:ext>
          </c:extLst>
        </c:ser>
        <c:ser>
          <c:idx val="2"/>
          <c:order val="2"/>
          <c:tx>
            <c:strRef>
              <c:f>'r_s fit'!$I$9</c:f>
              <c:strCache>
                <c:ptCount val="1"/>
                <c:pt idx="0">
                  <c:v>MPFJ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'r_s fit'!$I$10:$I$15</c:f>
              <c:numCache>
                <c:formatCode>General</c:formatCode>
                <c:ptCount val="6"/>
                <c:pt idx="0">
                  <c:v>72.099999999999994</c:v>
                </c:pt>
                <c:pt idx="1">
                  <c:v>47.2</c:v>
                </c:pt>
                <c:pt idx="2">
                  <c:v>23.5</c:v>
                </c:pt>
                <c:pt idx="3">
                  <c:v>78</c:v>
                </c:pt>
                <c:pt idx="4">
                  <c:v>47.7</c:v>
                </c:pt>
                <c:pt idx="5">
                  <c:v>29.5</c:v>
                </c:pt>
              </c:numCache>
            </c:numRef>
          </c:xVal>
          <c:yVal>
            <c:numRef>
              <c:f>'r_s fit'!$F$10:$F$15</c:f>
              <c:numCache>
                <c:formatCode>General</c:formatCode>
                <c:ptCount val="6"/>
                <c:pt idx="0">
                  <c:v>47.5</c:v>
                </c:pt>
                <c:pt idx="1">
                  <c:v>30.2</c:v>
                </c:pt>
                <c:pt idx="2">
                  <c:v>15.2</c:v>
                </c:pt>
                <c:pt idx="3">
                  <c:v>49.9</c:v>
                </c:pt>
                <c:pt idx="4">
                  <c:v>30.2</c:v>
                </c:pt>
                <c:pt idx="5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1D-4508-9310-489A2ECB3C1E}"/>
            </c:ext>
          </c:extLst>
        </c:ser>
        <c:ser>
          <c:idx val="3"/>
          <c:order val="3"/>
          <c:tx>
            <c:strRef>
              <c:f>'r_s fit'!$J$9</c:f>
              <c:strCache>
                <c:ptCount val="1"/>
                <c:pt idx="0">
                  <c:v>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00CC"/>
              </a:solidFill>
              <a:ln w="9525">
                <a:noFill/>
              </a:ln>
              <a:effectLst/>
            </c:spPr>
          </c:marker>
          <c:xVal>
            <c:numRef>
              <c:f>'r_s fit'!$J$10:$J$15</c:f>
              <c:numCache>
                <c:formatCode>General</c:formatCode>
                <c:ptCount val="6"/>
                <c:pt idx="0">
                  <c:v>30.2</c:v>
                </c:pt>
                <c:pt idx="1">
                  <c:v>20.9</c:v>
                </c:pt>
                <c:pt idx="2">
                  <c:v>13.1</c:v>
                </c:pt>
                <c:pt idx="3">
                  <c:v>34.700000000000003</c:v>
                </c:pt>
                <c:pt idx="4">
                  <c:v>21.1</c:v>
                </c:pt>
                <c:pt idx="5">
                  <c:v>12.9</c:v>
                </c:pt>
              </c:numCache>
            </c:numRef>
          </c:xVal>
          <c:yVal>
            <c:numRef>
              <c:f>'r_s fit'!$F$10:$F$15</c:f>
              <c:numCache>
                <c:formatCode>General</c:formatCode>
                <c:ptCount val="6"/>
                <c:pt idx="0">
                  <c:v>47.5</c:v>
                </c:pt>
                <c:pt idx="1">
                  <c:v>30.2</c:v>
                </c:pt>
                <c:pt idx="2">
                  <c:v>15.2</c:v>
                </c:pt>
                <c:pt idx="3">
                  <c:v>49.9</c:v>
                </c:pt>
                <c:pt idx="4">
                  <c:v>30.2</c:v>
                </c:pt>
                <c:pt idx="5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1D-4508-9310-489A2ECB3C1E}"/>
            </c:ext>
          </c:extLst>
        </c:ser>
        <c:ser>
          <c:idx val="4"/>
          <c:order val="4"/>
          <c:tx>
            <c:strRef>
              <c:f>'r_s fit'!$K$9</c:f>
              <c:strCache>
                <c:ptCount val="1"/>
                <c:pt idx="0">
                  <c:v>LH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8000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8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D1D-4508-9310-489A2ECB3C1E}"/>
              </c:ext>
            </c:extLst>
          </c:dPt>
          <c:xVal>
            <c:numRef>
              <c:f>'r_s fit'!$K$10:$K$15</c:f>
              <c:numCache>
                <c:formatCode>General</c:formatCode>
                <c:ptCount val="6"/>
                <c:pt idx="0">
                  <c:v>75.3</c:v>
                </c:pt>
                <c:pt idx="1">
                  <c:v>56.7</c:v>
                </c:pt>
                <c:pt idx="2">
                  <c:v>29.9</c:v>
                </c:pt>
                <c:pt idx="3">
                  <c:v>91.4</c:v>
                </c:pt>
                <c:pt idx="4">
                  <c:v>57.1</c:v>
                </c:pt>
                <c:pt idx="5">
                  <c:v>35.9</c:v>
                </c:pt>
              </c:numCache>
            </c:numRef>
          </c:xVal>
          <c:yVal>
            <c:numRef>
              <c:f>'r_s fit'!$F$10:$F$15</c:f>
              <c:numCache>
                <c:formatCode>General</c:formatCode>
                <c:ptCount val="6"/>
                <c:pt idx="0">
                  <c:v>47.5</c:v>
                </c:pt>
                <c:pt idx="1">
                  <c:v>30.2</c:v>
                </c:pt>
                <c:pt idx="2">
                  <c:v>15.2</c:v>
                </c:pt>
                <c:pt idx="3">
                  <c:v>49.9</c:v>
                </c:pt>
                <c:pt idx="4">
                  <c:v>30.2</c:v>
                </c:pt>
                <c:pt idx="5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1D-4508-9310-489A2ECB3C1E}"/>
            </c:ext>
          </c:extLst>
        </c:ser>
        <c:ser>
          <c:idx val="5"/>
          <c:order val="5"/>
          <c:tx>
            <c:v>1:01</c:v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'r_s fit'!$H$6:$H$7</c:f>
              <c:numCache>
                <c:formatCode>General</c:formatCode>
                <c:ptCount val="2"/>
                <c:pt idx="0">
                  <c:v>0</c:v>
                </c:pt>
                <c:pt idx="1">
                  <c:v>140</c:v>
                </c:pt>
              </c:numCache>
            </c:numRef>
          </c:xVal>
          <c:yVal>
            <c:numRef>
              <c:f>'r_s fit'!$I$6:$I$7</c:f>
              <c:numCache>
                <c:formatCode>General</c:formatCode>
                <c:ptCount val="2"/>
                <c:pt idx="0">
                  <c:v>0</c:v>
                </c:pt>
                <c:pt idx="1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1D-4508-9310-489A2ECB3C1E}"/>
            </c:ext>
          </c:extLst>
        </c:ser>
        <c:ser>
          <c:idx val="6"/>
          <c:order val="6"/>
          <c:tx>
            <c:v>RTq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xVal>
            <c:numRef>
              <c:f>'r_s fit'!$G$16:$G$19</c:f>
              <c:numCache>
                <c:formatCode>General</c:formatCode>
                <c:ptCount val="4"/>
                <c:pt idx="0">
                  <c:v>39.5</c:v>
                </c:pt>
                <c:pt idx="1">
                  <c:v>70.099999999999994</c:v>
                </c:pt>
                <c:pt idx="2">
                  <c:v>43</c:v>
                </c:pt>
                <c:pt idx="3">
                  <c:v>26.7</c:v>
                </c:pt>
              </c:numCache>
            </c:numRef>
          </c:xVal>
          <c:yVal>
            <c:numRef>
              <c:f>'r_s fit'!$F$16:$F$19</c:f>
              <c:numCache>
                <c:formatCode>General</c:formatCode>
                <c:ptCount val="4"/>
                <c:pt idx="0">
                  <c:v>56.7</c:v>
                </c:pt>
                <c:pt idx="1">
                  <c:v>120.6</c:v>
                </c:pt>
                <c:pt idx="2">
                  <c:v>62.3</c:v>
                </c:pt>
                <c:pt idx="3">
                  <c:v>68.900000000000006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ED-42E6-AE38-BE8B2ABB97C8}"/>
            </c:ext>
          </c:extLst>
        </c:ser>
        <c:ser>
          <c:idx val="7"/>
          <c:order val="7"/>
          <c:tx>
            <c:v>TEq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'r_s fit'!$H$16:$H$19</c:f>
              <c:numCache>
                <c:formatCode>General</c:formatCode>
                <c:ptCount val="4"/>
                <c:pt idx="0">
                  <c:v>37.5</c:v>
                </c:pt>
                <c:pt idx="1">
                  <c:v>64.599999999999994</c:v>
                </c:pt>
                <c:pt idx="2">
                  <c:v>38.5</c:v>
                </c:pt>
                <c:pt idx="3">
                  <c:v>23.1</c:v>
                </c:pt>
              </c:numCache>
            </c:numRef>
          </c:xVal>
          <c:yVal>
            <c:numRef>
              <c:f>'r_s fit'!$F$16:$F$19</c:f>
              <c:numCache>
                <c:formatCode>General</c:formatCode>
                <c:ptCount val="4"/>
                <c:pt idx="0">
                  <c:v>56.7</c:v>
                </c:pt>
                <c:pt idx="1">
                  <c:v>120.6</c:v>
                </c:pt>
                <c:pt idx="2">
                  <c:v>62.3</c:v>
                </c:pt>
                <c:pt idx="3">
                  <c:v>68.900000000000006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ED-42E6-AE38-BE8B2ABB97C8}"/>
            </c:ext>
          </c:extLst>
        </c:ser>
        <c:ser>
          <c:idx val="8"/>
          <c:order val="8"/>
          <c:tx>
            <c:v>MPFJq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'r_s fit'!$I$16:$I$19</c:f>
              <c:numCache>
                <c:formatCode>General</c:formatCode>
                <c:ptCount val="4"/>
                <c:pt idx="0">
                  <c:v>49.1</c:v>
                </c:pt>
                <c:pt idx="1">
                  <c:v>86.4</c:v>
                </c:pt>
                <c:pt idx="2">
                  <c:v>52.8</c:v>
                </c:pt>
                <c:pt idx="3">
                  <c:v>32.6</c:v>
                </c:pt>
              </c:numCache>
            </c:numRef>
          </c:xVal>
          <c:yVal>
            <c:numRef>
              <c:f>'r_s fit'!$F$16:$F$19</c:f>
              <c:numCache>
                <c:formatCode>General</c:formatCode>
                <c:ptCount val="4"/>
                <c:pt idx="0">
                  <c:v>56.7</c:v>
                </c:pt>
                <c:pt idx="1">
                  <c:v>120.6</c:v>
                </c:pt>
                <c:pt idx="2">
                  <c:v>62.3</c:v>
                </c:pt>
                <c:pt idx="3">
                  <c:v>68.900000000000006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ED-42E6-AE38-BE8B2ABB97C8}"/>
            </c:ext>
          </c:extLst>
        </c:ser>
        <c:ser>
          <c:idx val="9"/>
          <c:order val="9"/>
          <c:tx>
            <c:v>NGq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CC00CC"/>
              </a:solidFill>
              <a:ln w="9525">
                <a:noFill/>
              </a:ln>
              <a:effectLst/>
            </c:spPr>
          </c:marker>
          <c:xVal>
            <c:numRef>
              <c:f>'r_s fit'!$J$16:$J$19</c:f>
              <c:numCache>
                <c:formatCode>General</c:formatCode>
                <c:ptCount val="4"/>
                <c:pt idx="0">
                  <c:v>20.6</c:v>
                </c:pt>
                <c:pt idx="1">
                  <c:v>38.200000000000003</c:v>
                </c:pt>
                <c:pt idx="2">
                  <c:v>23.3</c:v>
                </c:pt>
                <c:pt idx="3">
                  <c:v>14.3</c:v>
                </c:pt>
              </c:numCache>
            </c:numRef>
          </c:xVal>
          <c:yVal>
            <c:numRef>
              <c:f>'r_s fit'!$F$16:$F$19</c:f>
              <c:numCache>
                <c:formatCode>General</c:formatCode>
                <c:ptCount val="4"/>
                <c:pt idx="0">
                  <c:v>56.7</c:v>
                </c:pt>
                <c:pt idx="1">
                  <c:v>120.6</c:v>
                </c:pt>
                <c:pt idx="2">
                  <c:v>62.3</c:v>
                </c:pt>
                <c:pt idx="3">
                  <c:v>68.900000000000006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ED-42E6-AE38-BE8B2ABB97C8}"/>
            </c:ext>
          </c:extLst>
        </c:ser>
        <c:ser>
          <c:idx val="10"/>
          <c:order val="10"/>
          <c:tx>
            <c:v>LHq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8000"/>
              </a:solidFill>
              <a:ln w="9525">
                <a:noFill/>
              </a:ln>
              <a:effectLst/>
            </c:spPr>
          </c:marker>
          <c:xVal>
            <c:numRef>
              <c:f>'r_s fit'!$K$16:$K$19</c:f>
              <c:numCache>
                <c:formatCode>General</c:formatCode>
                <c:ptCount val="4"/>
                <c:pt idx="0">
                  <c:v>56.2</c:v>
                </c:pt>
                <c:pt idx="1">
                  <c:v>107.7</c:v>
                </c:pt>
                <c:pt idx="2">
                  <c:v>67.2</c:v>
                </c:pt>
                <c:pt idx="3">
                  <c:v>42.3</c:v>
                </c:pt>
              </c:numCache>
            </c:numRef>
          </c:xVal>
          <c:yVal>
            <c:numRef>
              <c:f>'r_s fit'!$F$16:$F$19</c:f>
              <c:numCache>
                <c:formatCode>General</c:formatCode>
                <c:ptCount val="4"/>
                <c:pt idx="0">
                  <c:v>56.7</c:v>
                </c:pt>
                <c:pt idx="1">
                  <c:v>120.6</c:v>
                </c:pt>
                <c:pt idx="2">
                  <c:v>62.3</c:v>
                </c:pt>
                <c:pt idx="3">
                  <c:v>68.900000000000006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ED-42E6-AE38-BE8B2ABB97C8}"/>
            </c:ext>
          </c:extLst>
        </c:ser>
        <c:ser>
          <c:idx val="11"/>
          <c:order val="11"/>
          <c:tx>
            <c:strRef>
              <c:f>'r_s fit'!$G$22</c:f>
              <c:strCache>
                <c:ptCount val="1"/>
                <c:pt idx="0">
                  <c:v>GB Tong 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fit'!$H$22:$H$23</c:f>
              <c:numCache>
                <c:formatCode>General</c:formatCode>
                <c:ptCount val="2"/>
                <c:pt idx="0">
                  <c:v>30.2</c:v>
                </c:pt>
                <c:pt idx="1">
                  <c:v>75.3</c:v>
                </c:pt>
              </c:numCache>
            </c:numRef>
          </c:xVal>
          <c:yVal>
            <c:numRef>
              <c:f>'r_s fit'!$I$22:$I$23</c:f>
              <c:numCache>
                <c:formatCode>General</c:formatCode>
                <c:ptCount val="2"/>
                <c:pt idx="0">
                  <c:v>47.5</c:v>
                </c:pt>
                <c:pt idx="1">
                  <c:v>47.5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ED-42E6-AE38-BE8B2ABB97C8}"/>
            </c:ext>
          </c:extLst>
        </c:ser>
        <c:ser>
          <c:idx val="12"/>
          <c:order val="12"/>
          <c:tx>
            <c:strRef>
              <c:f>'r_s fit'!$G$24</c:f>
              <c:strCache>
                <c:ptCount val="1"/>
                <c:pt idx="0">
                  <c:v>GB Tong AB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fit'!$H$24:$H$25</c:f>
              <c:numCache>
                <c:formatCode>General</c:formatCode>
                <c:ptCount val="2"/>
                <c:pt idx="0">
                  <c:v>20.9</c:v>
                </c:pt>
                <c:pt idx="1">
                  <c:v>56.7</c:v>
                </c:pt>
              </c:numCache>
            </c:numRef>
          </c:xVal>
          <c:yVal>
            <c:numRef>
              <c:f>'r_s fit'!$I$24:$I$25</c:f>
              <c:numCache>
                <c:formatCode>General</c:formatCode>
                <c:ptCount val="2"/>
                <c:pt idx="0">
                  <c:v>30.2</c:v>
                </c:pt>
                <c:pt idx="1">
                  <c:v>30.2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AED-42E6-AE38-BE8B2ABB97C8}"/>
            </c:ext>
          </c:extLst>
        </c:ser>
        <c:ser>
          <c:idx val="13"/>
          <c:order val="13"/>
          <c:tx>
            <c:strRef>
              <c:f>'r_s fit'!$G$26</c:f>
              <c:strCache>
                <c:ptCount val="1"/>
                <c:pt idx="0">
                  <c:v>GB Tong CS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fit'!$H$26:$H$27</c:f>
              <c:numCache>
                <c:formatCode>General</c:formatCode>
                <c:ptCount val="2"/>
                <c:pt idx="0">
                  <c:v>13.1</c:v>
                </c:pt>
                <c:pt idx="1">
                  <c:v>29.9</c:v>
                </c:pt>
              </c:numCache>
            </c:numRef>
          </c:xVal>
          <c:yVal>
            <c:numRef>
              <c:f>'r_s fit'!$I$26:$I$27</c:f>
              <c:numCache>
                <c:formatCode>General</c:formatCode>
                <c:ptCount val="2"/>
                <c:pt idx="0">
                  <c:v>15.2</c:v>
                </c:pt>
                <c:pt idx="1">
                  <c:v>15.2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AED-42E6-AE38-BE8B2ABB97C8}"/>
            </c:ext>
          </c:extLst>
        </c:ser>
        <c:ser>
          <c:idx val="14"/>
          <c:order val="14"/>
          <c:tx>
            <c:strRef>
              <c:f>'r_s fit'!$G$30</c:f>
              <c:strCache>
                <c:ptCount val="1"/>
                <c:pt idx="0">
                  <c:v>GB Li E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fit'!$H$30:$H$31</c:f>
              <c:numCache>
                <c:formatCode>General</c:formatCode>
                <c:ptCount val="2"/>
                <c:pt idx="0">
                  <c:v>21.1</c:v>
                </c:pt>
                <c:pt idx="1">
                  <c:v>57.1</c:v>
                </c:pt>
              </c:numCache>
            </c:numRef>
          </c:xVal>
          <c:yVal>
            <c:numRef>
              <c:f>'r_s fit'!$I$30:$I$31</c:f>
              <c:numCache>
                <c:formatCode>General</c:formatCode>
                <c:ptCount val="2"/>
                <c:pt idx="0">
                  <c:v>30.2</c:v>
                </c:pt>
                <c:pt idx="1">
                  <c:v>30.2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AED-42E6-AE38-BE8B2ABB97C8}"/>
            </c:ext>
          </c:extLst>
        </c:ser>
        <c:ser>
          <c:idx val="15"/>
          <c:order val="15"/>
          <c:tx>
            <c:strRef>
              <c:f>'r_s fit'!$G$32</c:f>
              <c:strCache>
                <c:ptCount val="1"/>
                <c:pt idx="0">
                  <c:v>GB Li H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fit'!$H$32:$H$33</c:f>
              <c:numCache>
                <c:formatCode>General</c:formatCode>
                <c:ptCount val="2"/>
                <c:pt idx="0">
                  <c:v>12.9</c:v>
                </c:pt>
                <c:pt idx="1">
                  <c:v>35.9</c:v>
                </c:pt>
              </c:numCache>
            </c:numRef>
          </c:xVal>
          <c:yVal>
            <c:numRef>
              <c:f>'r_s fit'!$I$32:$I$33</c:f>
              <c:numCache>
                <c:formatCode>General</c:formatCode>
                <c:ptCount val="2"/>
                <c:pt idx="0">
                  <c:v>29.6</c:v>
                </c:pt>
                <c:pt idx="1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AED-42E6-AE38-BE8B2ABB97C8}"/>
            </c:ext>
          </c:extLst>
        </c:ser>
        <c:ser>
          <c:idx val="16"/>
          <c:order val="16"/>
          <c:tx>
            <c:strRef>
              <c:f>'r_s fit'!$G$28</c:f>
              <c:strCache>
                <c:ptCount val="1"/>
                <c:pt idx="0">
                  <c:v>GB Li B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fit'!$H$28:$H$29</c:f>
              <c:numCache>
                <c:formatCode>General</c:formatCode>
                <c:ptCount val="2"/>
                <c:pt idx="0">
                  <c:v>34.700000000000003</c:v>
                </c:pt>
                <c:pt idx="1">
                  <c:v>91.4</c:v>
                </c:pt>
              </c:numCache>
            </c:numRef>
          </c:xVal>
          <c:yVal>
            <c:numRef>
              <c:f>'r_s fit'!$I$28:$I$29</c:f>
              <c:numCache>
                <c:formatCode>General</c:formatCode>
                <c:ptCount val="2"/>
                <c:pt idx="0">
                  <c:v>49.9</c:v>
                </c:pt>
                <c:pt idx="1">
                  <c:v>49.9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AED-42E6-AE38-BE8B2ABB97C8}"/>
            </c:ext>
          </c:extLst>
        </c:ser>
        <c:ser>
          <c:idx val="17"/>
          <c:order val="17"/>
          <c:tx>
            <c:strRef>
              <c:f>'r_s fit'!$K$22</c:f>
              <c:strCache>
                <c:ptCount val="1"/>
                <c:pt idx="0">
                  <c:v>Qz Tong O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fit'!$L$22:$L$23</c:f>
              <c:numCache>
                <c:formatCode>General</c:formatCode>
                <c:ptCount val="2"/>
                <c:pt idx="0">
                  <c:v>20.6</c:v>
                </c:pt>
                <c:pt idx="1">
                  <c:v>56.2</c:v>
                </c:pt>
              </c:numCache>
            </c:numRef>
          </c:xVal>
          <c:yVal>
            <c:numRef>
              <c:f>'r_s fit'!$M$22:$M$23</c:f>
              <c:numCache>
                <c:formatCode>General</c:formatCode>
                <c:ptCount val="2"/>
                <c:pt idx="0">
                  <c:v>56.7</c:v>
                </c:pt>
                <c:pt idx="1">
                  <c:v>56.7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AED-42E6-AE38-BE8B2ABB97C8}"/>
            </c:ext>
          </c:extLst>
        </c:ser>
        <c:ser>
          <c:idx val="18"/>
          <c:order val="18"/>
          <c:tx>
            <c:strRef>
              <c:f>'r_s fit'!$K$24</c:f>
              <c:strCache>
                <c:ptCount val="1"/>
                <c:pt idx="0">
                  <c:v>Qz Li B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fit'!$L$24:$L$25</c:f>
              <c:numCache>
                <c:formatCode>General</c:formatCode>
                <c:ptCount val="2"/>
                <c:pt idx="0">
                  <c:v>38.200000000000003</c:v>
                </c:pt>
                <c:pt idx="1">
                  <c:v>107.7</c:v>
                </c:pt>
              </c:numCache>
            </c:numRef>
          </c:xVal>
          <c:yVal>
            <c:numRef>
              <c:f>'r_s fit'!$M$24:$M$25</c:f>
              <c:numCache>
                <c:formatCode>General</c:formatCode>
                <c:ptCount val="2"/>
                <c:pt idx="0">
                  <c:v>120.6</c:v>
                </c:pt>
                <c:pt idx="1">
                  <c:v>120.6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AED-42E6-AE38-BE8B2ABB97C8}"/>
            </c:ext>
          </c:extLst>
        </c:ser>
        <c:ser>
          <c:idx val="19"/>
          <c:order val="19"/>
          <c:tx>
            <c:strRef>
              <c:f>'r_s fit'!$K$26</c:f>
              <c:strCache>
                <c:ptCount val="1"/>
                <c:pt idx="0">
                  <c:v>Qz Li E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fit'!$L$26:$L$27</c:f>
              <c:numCache>
                <c:formatCode>General</c:formatCode>
                <c:ptCount val="2"/>
                <c:pt idx="0">
                  <c:v>23.3</c:v>
                </c:pt>
                <c:pt idx="1">
                  <c:v>67.2</c:v>
                </c:pt>
              </c:numCache>
            </c:numRef>
          </c:xVal>
          <c:yVal>
            <c:numRef>
              <c:f>'r_s fit'!$M$26:$M$27</c:f>
              <c:numCache>
                <c:formatCode>General</c:formatCode>
                <c:ptCount val="2"/>
                <c:pt idx="0">
                  <c:v>62.3</c:v>
                </c:pt>
                <c:pt idx="1">
                  <c:v>62.3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AED-42E6-AE38-BE8B2ABB97C8}"/>
            </c:ext>
          </c:extLst>
        </c:ser>
        <c:ser>
          <c:idx val="20"/>
          <c:order val="20"/>
          <c:tx>
            <c:strRef>
              <c:f>'r_s fit'!$K$28</c:f>
              <c:strCache>
                <c:ptCount val="1"/>
                <c:pt idx="0">
                  <c:v>Qz Li I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'r_s fit'!$L$28:$L$29</c:f>
              <c:numCache>
                <c:formatCode>General</c:formatCode>
                <c:ptCount val="2"/>
                <c:pt idx="0">
                  <c:v>14.3</c:v>
                </c:pt>
                <c:pt idx="1">
                  <c:v>42.3</c:v>
                </c:pt>
              </c:numCache>
            </c:numRef>
          </c:xVal>
          <c:yVal>
            <c:numRef>
              <c:f>'r_s fit'!$M$28:$M$29</c:f>
              <c:numCache>
                <c:formatCode>General</c:formatCode>
                <c:ptCount val="2"/>
                <c:pt idx="0">
                  <c:v>68.900000000000006</c:v>
                </c:pt>
                <c:pt idx="1">
                  <c:v>68.900000000000006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AED-42E6-AE38-BE8B2ABB9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015776"/>
        <c:axId val="1018268816"/>
      </c:scatterChart>
      <c:valAx>
        <c:axId val="1015015776"/>
        <c:scaling>
          <c:orientation val="minMax"/>
          <c:max val="14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Calc. </a:t>
                </a:r>
                <a:r>
                  <a:rPr lang="en-US" i="1"/>
                  <a:t>r</a:t>
                </a:r>
                <a:r>
                  <a:rPr lang="en-US" i="1" baseline="-25000"/>
                  <a:t>s</a:t>
                </a: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 ( /m)</a:t>
                </a:r>
                <a:endParaRPr lang="en-US" i="1" baseline="-25000"/>
              </a:p>
            </c:rich>
          </c:tx>
          <c:layout>
            <c:manualLayout>
              <c:xMode val="edge"/>
              <c:yMode val="edge"/>
              <c:x val="0.49340575931780523"/>
              <c:y val="0.862262145029705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18268816"/>
        <c:crosses val="autoZero"/>
        <c:crossBetween val="midCat"/>
        <c:majorUnit val="20"/>
      </c:valAx>
      <c:valAx>
        <c:axId val="1018268816"/>
        <c:scaling>
          <c:orientation val="minMax"/>
          <c:max val="1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Fit </a:t>
                </a:r>
                <a:r>
                  <a:rPr lang="en-US" i="1"/>
                  <a:t>r</a:t>
                </a:r>
                <a:r>
                  <a:rPr lang="en-US" i="1" baseline="-25000"/>
                  <a:t>s</a:t>
                </a:r>
                <a:r>
                  <a:rPr lang="en-US" i="1" baseline="0"/>
                  <a:t> </a:t>
                </a:r>
                <a:r>
                  <a:rPr lang="en-US" i="0" baseline="0"/>
                  <a:t>( /m)</a:t>
                </a:r>
                <a:endParaRPr lang="en-US" i="0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15015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ayout>
        <c:manualLayout>
          <c:xMode val="edge"/>
          <c:yMode val="edge"/>
          <c:x val="0.26969632567932361"/>
          <c:y val="0.92598055658205181"/>
          <c:w val="0.61426299080594804"/>
          <c:h val="7.4019443417948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20</xdr:row>
      <xdr:rowOff>82550</xdr:rowOff>
    </xdr:from>
    <xdr:to>
      <xdr:col>5</xdr:col>
      <xdr:colOff>314325</xdr:colOff>
      <xdr:row>39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5B9522-DC66-4584-A92E-EA39E13F4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9927-0C02-400F-919B-E80D4E9EE90D}">
  <dimension ref="B1:N43"/>
  <sheetViews>
    <sheetView tabSelected="1" topLeftCell="A23" workbookViewId="0">
      <selection activeCell="G37" sqref="G37"/>
    </sheetView>
  </sheetViews>
  <sheetFormatPr defaultRowHeight="14.5"/>
  <cols>
    <col min="2" max="15" width="11" customWidth="1"/>
  </cols>
  <sheetData>
    <row r="1" spans="2:14">
      <c r="B1" s="1" t="s">
        <v>0</v>
      </c>
    </row>
    <row r="2" spans="2:14" ht="17.5">
      <c r="C2" s="4" t="s">
        <v>26</v>
      </c>
      <c r="D2" s="4" t="s">
        <v>27</v>
      </c>
      <c r="F2" s="6" t="s">
        <v>28</v>
      </c>
      <c r="G2">
        <v>1055</v>
      </c>
    </row>
    <row r="3" spans="2:14">
      <c r="B3" s="3" t="s">
        <v>25</v>
      </c>
      <c r="C3" s="4">
        <v>0.375</v>
      </c>
      <c r="D3" s="4">
        <v>0.36</v>
      </c>
    </row>
    <row r="4" spans="2:14" ht="16.5">
      <c r="B4" s="5" t="s">
        <v>30</v>
      </c>
      <c r="C4" s="4">
        <v>510</v>
      </c>
      <c r="D4" s="4">
        <v>510</v>
      </c>
    </row>
    <row r="5" spans="2:14">
      <c r="B5" s="7" t="s">
        <v>29</v>
      </c>
      <c r="C5" s="8">
        <f>(3/(2*C4))*(1-C3)^(1/3)</f>
        <v>2.5146705098186722E-3</v>
      </c>
      <c r="D5" s="8">
        <f>(3/(2*D4))*(1-D3)^(1/3)</f>
        <v>2.5346290470963338E-3</v>
      </c>
    </row>
    <row r="6" spans="2:14" ht="16.5">
      <c r="B6" s="9" t="s">
        <v>31</v>
      </c>
      <c r="C6" s="11">
        <v>7.1699999999999994E-21</v>
      </c>
      <c r="D6" s="11">
        <v>1.9600000000000001E-20</v>
      </c>
      <c r="G6" s="7" t="s">
        <v>32</v>
      </c>
      <c r="H6">
        <v>0</v>
      </c>
      <c r="I6">
        <v>0</v>
      </c>
    </row>
    <row r="7" spans="2:14">
      <c r="B7" s="2"/>
      <c r="H7">
        <v>140</v>
      </c>
      <c r="I7">
        <v>140</v>
      </c>
    </row>
    <row r="8" spans="2:14">
      <c r="B8" s="10" t="s">
        <v>1</v>
      </c>
    </row>
    <row r="9" spans="2:14"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0" t="s">
        <v>9</v>
      </c>
      <c r="J9" s="1" t="s">
        <v>10</v>
      </c>
      <c r="K9" s="1" t="s">
        <v>11</v>
      </c>
      <c r="L9" s="10" t="s">
        <v>33</v>
      </c>
      <c r="M9" s="10" t="s">
        <v>34</v>
      </c>
      <c r="N9" s="1" t="s">
        <v>12</v>
      </c>
    </row>
    <row r="10" spans="2:14">
      <c r="B10" t="s">
        <v>13</v>
      </c>
      <c r="C10" t="s">
        <v>14</v>
      </c>
      <c r="D10">
        <v>0.5</v>
      </c>
      <c r="E10">
        <v>4</v>
      </c>
      <c r="F10">
        <v>47.5</v>
      </c>
      <c r="G10">
        <v>57.9</v>
      </c>
      <c r="H10">
        <v>54.8</v>
      </c>
      <c r="I10">
        <v>72.099999999999994</v>
      </c>
      <c r="J10">
        <v>30.2</v>
      </c>
      <c r="K10">
        <v>75.3</v>
      </c>
      <c r="L10">
        <v>30.2</v>
      </c>
      <c r="M10">
        <v>75.3</v>
      </c>
      <c r="N10">
        <v>0.66</v>
      </c>
    </row>
    <row r="11" spans="2:14">
      <c r="B11" t="s">
        <v>15</v>
      </c>
      <c r="C11" t="s">
        <v>14</v>
      </c>
      <c r="D11">
        <v>1</v>
      </c>
      <c r="E11">
        <v>4</v>
      </c>
      <c r="F11">
        <v>30.2</v>
      </c>
      <c r="G11">
        <v>38.9</v>
      </c>
      <c r="H11">
        <v>33.6</v>
      </c>
      <c r="I11">
        <v>47.2</v>
      </c>
      <c r="J11">
        <v>20.9</v>
      </c>
      <c r="K11">
        <v>56.7</v>
      </c>
      <c r="L11">
        <v>20.9</v>
      </c>
      <c r="M11">
        <v>56.7</v>
      </c>
      <c r="N11">
        <v>0.64</v>
      </c>
    </row>
    <row r="12" spans="2:14">
      <c r="B12" t="s">
        <v>16</v>
      </c>
      <c r="C12" t="s">
        <v>14</v>
      </c>
      <c r="D12">
        <v>2</v>
      </c>
      <c r="E12">
        <v>8</v>
      </c>
      <c r="F12">
        <v>15.2</v>
      </c>
      <c r="G12">
        <v>20.2</v>
      </c>
      <c r="H12">
        <v>15.9</v>
      </c>
      <c r="I12">
        <v>23.5</v>
      </c>
      <c r="J12">
        <v>13.1</v>
      </c>
      <c r="K12">
        <v>29.9</v>
      </c>
      <c r="L12">
        <v>13.1</v>
      </c>
      <c r="M12">
        <v>29.9</v>
      </c>
      <c r="N12">
        <v>0.65</v>
      </c>
    </row>
    <row r="13" spans="2:14">
      <c r="B13" t="s">
        <v>22</v>
      </c>
      <c r="C13" t="s">
        <v>14</v>
      </c>
      <c r="D13">
        <v>0.98</v>
      </c>
      <c r="E13">
        <v>2</v>
      </c>
      <c r="F13">
        <v>49.9</v>
      </c>
      <c r="G13">
        <v>63.9</v>
      </c>
      <c r="H13">
        <v>57.1</v>
      </c>
      <c r="I13">
        <v>78</v>
      </c>
      <c r="J13">
        <v>34.700000000000003</v>
      </c>
      <c r="K13">
        <v>91.4</v>
      </c>
      <c r="L13">
        <v>34.700000000000003</v>
      </c>
      <c r="M13">
        <v>91.4</v>
      </c>
      <c r="N13">
        <v>0.64</v>
      </c>
    </row>
    <row r="14" spans="2:14">
      <c r="B14" t="s">
        <v>23</v>
      </c>
      <c r="C14" t="s">
        <v>14</v>
      </c>
      <c r="D14">
        <v>0.98</v>
      </c>
      <c r="E14">
        <v>4</v>
      </c>
      <c r="F14">
        <v>30.2</v>
      </c>
      <c r="G14">
        <v>39.200000000000003</v>
      </c>
      <c r="H14">
        <v>34</v>
      </c>
      <c r="I14">
        <v>47.7</v>
      </c>
      <c r="J14">
        <v>21.1</v>
      </c>
      <c r="K14">
        <v>57.1</v>
      </c>
      <c r="L14">
        <v>21.1</v>
      </c>
      <c r="M14">
        <v>57.1</v>
      </c>
      <c r="N14">
        <v>0.63</v>
      </c>
    </row>
    <row r="15" spans="2:14">
      <c r="B15" t="s">
        <v>24</v>
      </c>
      <c r="C15" t="s">
        <v>14</v>
      </c>
      <c r="D15">
        <v>0.98</v>
      </c>
      <c r="E15">
        <v>8</v>
      </c>
      <c r="F15">
        <v>29.6</v>
      </c>
      <c r="G15">
        <v>24.4</v>
      </c>
      <c r="H15">
        <v>20.399999999999999</v>
      </c>
      <c r="I15">
        <v>29.5</v>
      </c>
      <c r="J15">
        <v>12.9</v>
      </c>
      <c r="K15">
        <v>35.9</v>
      </c>
      <c r="L15">
        <v>12.9</v>
      </c>
      <c r="M15">
        <v>35.9</v>
      </c>
      <c r="N15">
        <v>1</v>
      </c>
    </row>
    <row r="16" spans="2:14">
      <c r="B16" t="s">
        <v>17</v>
      </c>
      <c r="C16" t="s">
        <v>18</v>
      </c>
      <c r="D16">
        <v>0.5</v>
      </c>
      <c r="E16">
        <v>8</v>
      </c>
      <c r="F16">
        <v>56.7</v>
      </c>
      <c r="G16">
        <v>39.5</v>
      </c>
      <c r="H16">
        <v>37.5</v>
      </c>
      <c r="I16">
        <v>49.1</v>
      </c>
      <c r="J16">
        <v>20.6</v>
      </c>
      <c r="K16">
        <v>56.2</v>
      </c>
      <c r="L16">
        <v>20.6</v>
      </c>
      <c r="M16">
        <v>56.2</v>
      </c>
      <c r="N16">
        <v>1.1599999999999999</v>
      </c>
    </row>
    <row r="17" spans="2:14">
      <c r="B17" t="s">
        <v>19</v>
      </c>
      <c r="C17" t="s">
        <v>18</v>
      </c>
      <c r="D17">
        <v>0.98</v>
      </c>
      <c r="E17">
        <v>2</v>
      </c>
      <c r="F17">
        <v>120.6</v>
      </c>
      <c r="G17">
        <v>70.099999999999994</v>
      </c>
      <c r="H17">
        <v>64.599999999999994</v>
      </c>
      <c r="I17">
        <v>86.4</v>
      </c>
      <c r="J17">
        <v>38.200000000000003</v>
      </c>
      <c r="K17">
        <v>107.7</v>
      </c>
      <c r="L17">
        <v>38.200000000000003</v>
      </c>
      <c r="M17">
        <v>107.7</v>
      </c>
      <c r="N17">
        <v>1.4</v>
      </c>
    </row>
    <row r="18" spans="2:14">
      <c r="B18" t="s">
        <v>20</v>
      </c>
      <c r="C18" t="s">
        <v>18</v>
      </c>
      <c r="D18">
        <v>0.98</v>
      </c>
      <c r="E18">
        <v>4</v>
      </c>
      <c r="F18">
        <v>62.3</v>
      </c>
      <c r="G18">
        <v>43</v>
      </c>
      <c r="H18">
        <v>38.5</v>
      </c>
      <c r="I18">
        <v>52.8</v>
      </c>
      <c r="J18">
        <v>23.3</v>
      </c>
      <c r="K18">
        <v>67.2</v>
      </c>
      <c r="L18">
        <v>23.3</v>
      </c>
      <c r="M18">
        <v>67.2</v>
      </c>
      <c r="N18">
        <v>1.18</v>
      </c>
    </row>
    <row r="19" spans="2:14">
      <c r="B19" t="s">
        <v>21</v>
      </c>
      <c r="C19" t="s">
        <v>18</v>
      </c>
      <c r="D19">
        <v>0.98</v>
      </c>
      <c r="E19">
        <v>8</v>
      </c>
      <c r="F19">
        <v>68.900000000000006</v>
      </c>
      <c r="G19">
        <v>26.7</v>
      </c>
      <c r="H19">
        <v>23.1</v>
      </c>
      <c r="I19">
        <v>32.6</v>
      </c>
      <c r="J19">
        <v>14.3</v>
      </c>
      <c r="K19">
        <v>42.3</v>
      </c>
      <c r="L19">
        <v>14.3</v>
      </c>
      <c r="M19">
        <v>42.3</v>
      </c>
      <c r="N19">
        <v>2.11</v>
      </c>
    </row>
    <row r="21" spans="2:14">
      <c r="H21" s="4" t="s">
        <v>35</v>
      </c>
      <c r="I21" s="4" t="s">
        <v>36</v>
      </c>
      <c r="L21" s="4" t="s">
        <v>35</v>
      </c>
      <c r="M21" s="4" t="s">
        <v>36</v>
      </c>
    </row>
    <row r="22" spans="2:14">
      <c r="G22" t="s">
        <v>13</v>
      </c>
      <c r="H22">
        <f>L10</f>
        <v>30.2</v>
      </c>
      <c r="I22">
        <f>F10</f>
        <v>47.5</v>
      </c>
      <c r="K22" t="s">
        <v>17</v>
      </c>
      <c r="L22" s="4">
        <f>L16</f>
        <v>20.6</v>
      </c>
      <c r="M22" s="4">
        <f>F16</f>
        <v>56.7</v>
      </c>
    </row>
    <row r="23" spans="2:14">
      <c r="H23">
        <f>M10</f>
        <v>75.3</v>
      </c>
      <c r="I23">
        <f>F10</f>
        <v>47.5</v>
      </c>
      <c r="L23" s="4">
        <f>M16</f>
        <v>56.2</v>
      </c>
      <c r="M23" s="4">
        <f>F16</f>
        <v>56.7</v>
      </c>
    </row>
    <row r="24" spans="2:14">
      <c r="G24" t="s">
        <v>15</v>
      </c>
      <c r="H24">
        <f>L11</f>
        <v>20.9</v>
      </c>
      <c r="I24">
        <f>F11</f>
        <v>30.2</v>
      </c>
      <c r="K24" t="s">
        <v>19</v>
      </c>
      <c r="L24" s="4">
        <f>L17</f>
        <v>38.200000000000003</v>
      </c>
      <c r="M24" s="4">
        <f>F17</f>
        <v>120.6</v>
      </c>
    </row>
    <row r="25" spans="2:14">
      <c r="H25">
        <f>M11</f>
        <v>56.7</v>
      </c>
      <c r="I25">
        <f>F11</f>
        <v>30.2</v>
      </c>
      <c r="L25" s="4">
        <f>M17</f>
        <v>107.7</v>
      </c>
      <c r="M25" s="4">
        <f>F17</f>
        <v>120.6</v>
      </c>
    </row>
    <row r="26" spans="2:14">
      <c r="G26" t="s">
        <v>16</v>
      </c>
      <c r="H26">
        <f>L12</f>
        <v>13.1</v>
      </c>
      <c r="I26">
        <f>F12</f>
        <v>15.2</v>
      </c>
      <c r="K26" t="s">
        <v>20</v>
      </c>
      <c r="L26" s="4">
        <f>L18</f>
        <v>23.3</v>
      </c>
      <c r="M26" s="4">
        <f>F18</f>
        <v>62.3</v>
      </c>
    </row>
    <row r="27" spans="2:14">
      <c r="H27">
        <f>M12</f>
        <v>29.9</v>
      </c>
      <c r="I27">
        <f>F12</f>
        <v>15.2</v>
      </c>
      <c r="L27" s="4">
        <f>M18</f>
        <v>67.2</v>
      </c>
      <c r="M27" s="4">
        <f>F18</f>
        <v>62.3</v>
      </c>
    </row>
    <row r="28" spans="2:14">
      <c r="G28" t="s">
        <v>22</v>
      </c>
      <c r="H28">
        <f>L13</f>
        <v>34.700000000000003</v>
      </c>
      <c r="I28">
        <f>F13</f>
        <v>49.9</v>
      </c>
      <c r="K28" t="s">
        <v>21</v>
      </c>
      <c r="L28" s="4">
        <f>L19</f>
        <v>14.3</v>
      </c>
      <c r="M28" s="4">
        <f>F19</f>
        <v>68.900000000000006</v>
      </c>
    </row>
    <row r="29" spans="2:14">
      <c r="H29">
        <f>M13</f>
        <v>91.4</v>
      </c>
      <c r="I29">
        <f>F13</f>
        <v>49.9</v>
      </c>
      <c r="L29" s="4">
        <f>M19</f>
        <v>42.3</v>
      </c>
      <c r="M29" s="4">
        <f>F19</f>
        <v>68.900000000000006</v>
      </c>
    </row>
    <row r="30" spans="2:14">
      <c r="G30" t="s">
        <v>23</v>
      </c>
      <c r="H30">
        <f>L14</f>
        <v>21.1</v>
      </c>
      <c r="I30">
        <f>F14</f>
        <v>30.2</v>
      </c>
    </row>
    <row r="31" spans="2:14">
      <c r="H31">
        <f>M14</f>
        <v>57.1</v>
      </c>
      <c r="I31">
        <f>F14</f>
        <v>30.2</v>
      </c>
    </row>
    <row r="32" spans="2:14">
      <c r="G32" t="s">
        <v>24</v>
      </c>
      <c r="H32">
        <f>L15</f>
        <v>12.9</v>
      </c>
      <c r="I32">
        <f>F15</f>
        <v>29.6</v>
      </c>
    </row>
    <row r="33" spans="2:14">
      <c r="H33">
        <f>M15</f>
        <v>35.9</v>
      </c>
      <c r="I33">
        <f>F15</f>
        <v>29.6</v>
      </c>
    </row>
    <row r="42" spans="2:14">
      <c r="B42" s="1"/>
    </row>
    <row r="43" spans="2:1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r_s 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2026-08-20T21:45:48Z</dcterms:created>
  <dcterms:modified xsi:type="dcterms:W3CDTF">2026-09-03T14:13:45Z</dcterms:modified>
</cp:coreProperties>
</file>