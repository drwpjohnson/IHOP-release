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BE344579-3A7E-4C04-A341-3A2CE08AB402}" xr6:coauthVersionLast="47" xr6:coauthVersionMax="47" xr10:uidLastSave="{00000000-0000-0000-0000-000000000000}"/>
  <bookViews>
    <workbookView xWindow="3350" yWindow="40" windowWidth="15830" windowHeight="10970" xr2:uid="{00000000-000D-0000-FFFF-FFFF00000000}"/>
  </bookViews>
  <sheets>
    <sheet name="Figure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<sst xmlns="http://schemas.openxmlformats.org/spreadsheetml/2006/main" count="27" uniqueCount="21">
  <si>
    <t>glass 0.2 um, 20 mM: v (m/day)</t>
  </si>
  <si>
    <t>k_r (/s)</t>
  </si>
  <si>
    <t>identifier (study.col)</t>
  </si>
  <si>
    <t>glass 0.2 um, 20 mM: geomean v</t>
  </si>
  <si>
    <t>geomean k_r (/s)</t>
  </si>
  <si>
    <t>glass 0.5 um, 20 mM: v (m/day)</t>
  </si>
  <si>
    <t>glass 0.5 um, 20 mM: geomean v</t>
  </si>
  <si>
    <t>quartz 0.5 um, 50 mM: v (m/day)</t>
  </si>
  <si>
    <t>quartz 0.5 um, 50 mM: geomean v</t>
  </si>
  <si>
    <t>glass ref x</t>
  </si>
  <si>
    <t>glass ref k_r (clean geomean)</t>
  </si>
  <si>
    <t>quartz ref x</t>
  </si>
  <si>
    <t>quartz ref k_r (clean geomean)</t>
  </si>
  <si>
    <t>Tong.E</t>
  </si>
  <si>
    <t>Tong.O</t>
  </si>
  <si>
    <t>Tong.H</t>
  </si>
  <si>
    <t>Tong.BE</t>
  </si>
  <si>
    <t>Tong.BU</t>
  </si>
  <si>
    <t>Tong.R</t>
  </si>
  <si>
    <t>Tong.BH</t>
  </si>
  <si>
    <t>Tong.BN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</si>
</sst>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1772560248150799"/>
          <c:y val="2.5771794871794873E-2"/>
          <c:w val="0.75866227630637084"/>
          <c:h val="0.84572649572649572"/>
        </c:manualLayout>
      </c:layout>
      <c:scatterChart>
        <c:scatterStyle val="lineMarker"/>
        <c:varyColors val="0"/>
        <c:ser>
          <c:idx val="0"/>
          <c:order val="0"/>
          <c:tx>
            <c:v>glass k_r (clean geomean)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Data!$P$2:$P$3</c:f>
              <c:numCache>
                <c:formatCode>General</c:formatCode>
                <c:ptCount val="2"/>
                <c:pt idx="0">
                  <c:v>3.2</c:v>
                </c:pt>
                <c:pt idx="1">
                  <c:v>10</c:v>
                </c:pt>
              </c:numCache>
            </c:numRef>
          </c:xVal>
          <c:yVal>
            <c:numRef>
              <c:f>Data!$Q$2:$Q$3</c:f>
              <c:numCache>
                <c:formatCode>General</c:formatCode>
                <c:ptCount val="2"/>
                <c:pt idx="0">
                  <c:v>3.7490000000000002E-5</c:v>
                </c:pt>
                <c:pt idx="1">
                  <c:v>3.7490000000000002E-5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C-4C99-BE19-582AF2DCF3D0}"/>
            </c:ext>
          </c:extLst>
        </c:ser>
        <c:ser>
          <c:idx val="1"/>
          <c:order val="1"/>
          <c:tx>
            <c:v>quartz k_r (clean geomean)</c:v>
          </c:tx>
          <c:spPr>
            <a:ln w="15875">
              <a:solidFill>
                <a:srgbClr val="7B2D8B"/>
              </a:solidFill>
              <a:prstDash val="dash"/>
            </a:ln>
          </c:spPr>
          <c:marker>
            <c:symbol val="none"/>
          </c:marker>
          <c:xVal>
            <c:numRef>
              <c:f>Data!$R$2:$R$3</c:f>
              <c:numCache>
                <c:formatCode>General</c:formatCode>
                <c:ptCount val="2"/>
                <c:pt idx="0">
                  <c:v>3.2</c:v>
                </c:pt>
                <c:pt idx="1">
                  <c:v>10</c:v>
                </c:pt>
              </c:numCache>
            </c:numRef>
          </c:xVal>
          <c:yVal>
            <c:numRef>
              <c:f>Data!$S$2:$S$3</c:f>
              <c:numCache>
                <c:formatCode>General</c:formatCode>
                <c:ptCount val="2"/>
                <c:pt idx="0">
                  <c:v>1.8159999999999999E-5</c:v>
                </c:pt>
                <c:pt idx="1">
                  <c:v>1.8159999999999999E-5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C-4C99-BE19-582AF2DCF3D0}"/>
            </c:ext>
          </c:extLst>
        </c:ser>
        <c:ser>
          <c:idx val="2"/>
          <c:order val="2"/>
          <c:tx>
            <c:v>glass 0.2 um, 20 mM (geomean)</c:v>
          </c:tx>
          <c:spPr>
            <a:ln w="12700">
              <a:solidFill>
                <a:srgbClr val="0000FF"/>
              </a:solidFill>
              <a:prstDash val="lgDashDotDot"/>
            </a:ln>
          </c:spPr>
          <c:marker>
            <c:symbol val="none"/>
          </c:marker>
          <c:xVal>
            <c:numRef>
              <c:f>Data!$D$2:$D$3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Data!$E$2:$E$3</c:f>
              <c:numCache>
                <c:formatCode>General</c:formatCode>
                <c:ptCount val="2"/>
                <c:pt idx="0">
                  <c:v>3.2229999999999988E-5</c:v>
                </c:pt>
                <c:pt idx="1">
                  <c:v>6.1347670064487044E-5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2C-4C99-BE19-582AF2DCF3D0}"/>
            </c:ext>
          </c:extLst>
        </c:ser>
        <c:ser>
          <c:idx val="3"/>
          <c:order val="3"/>
          <c:tx>
            <c:v>glass 0.2 um, 20 mM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000FF"/>
              </a:solidFill>
              <a:ln w="25400"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xVal>
          <c:yVal>
            <c:numRef>
              <c:f>Data!$B$2:$B$5</c:f>
              <c:numCache>
                <c:formatCode>General</c:formatCode>
                <c:ptCount val="4"/>
                <c:pt idx="0">
                  <c:v>3.2230000000000001E-5</c:v>
                </c:pt>
                <c:pt idx="1">
                  <c:v>2.9830000000000001E-5</c:v>
                </c:pt>
                <c:pt idx="2">
                  <c:v>8.5610000000000002E-5</c:v>
                </c:pt>
                <c:pt idx="3">
                  <c:v>9.0409999999999997E-5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2C-4C99-BE19-582AF2DCF3D0}"/>
            </c:ext>
          </c:extLst>
        </c:ser>
        <c:ser>
          <c:idx val="4"/>
          <c:order val="4"/>
          <c:tx>
            <c:v>glass 0.5 um, 20 mM (geomean)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Data!$I$2:$I$3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Data!$J$2:$J$3</c:f>
              <c:numCache>
                <c:formatCode>General</c:formatCode>
                <c:ptCount val="2"/>
                <c:pt idx="0">
                  <c:v>1.347000000000001E-5</c:v>
                </c:pt>
                <c:pt idx="1">
                  <c:v>5.6239999999999983E-5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2C-4C99-BE19-582AF2DCF3D0}"/>
            </c:ext>
          </c:extLst>
        </c:ser>
        <c:ser>
          <c:idx val="5"/>
          <c:order val="5"/>
          <c:tx>
            <c:v>glass 0.5 um, 20 mM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noFill/>
              <a:ln w="25400"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Data!$F$2:$F$3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Data!$G$2:$G$3</c:f>
              <c:numCache>
                <c:formatCode>General</c:formatCode>
                <c:ptCount val="2"/>
                <c:pt idx="0">
                  <c:v>1.347E-5</c:v>
                </c:pt>
                <c:pt idx="1">
                  <c:v>5.6239999999999997E-5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2C-4C99-BE19-582AF2DCF3D0}"/>
            </c:ext>
          </c:extLst>
        </c:ser>
        <c:ser>
          <c:idx val="6"/>
          <c:order val="6"/>
          <c:tx>
            <c:v>quartz 0.5 um, 50 mM (geomean)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Data!$N$2:$N$3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Data!$O$2:$O$3</c:f>
              <c:numCache>
                <c:formatCode>General</c:formatCode>
                <c:ptCount val="2"/>
                <c:pt idx="0">
                  <c:v>2.2359999999999989E-5</c:v>
                </c:pt>
                <c:pt idx="1">
                  <c:v>5.371000000000004E-5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2C-4C99-BE19-582AF2DCF3D0}"/>
            </c:ext>
          </c:extLst>
        </c:ser>
        <c:ser>
          <c:idx val="7"/>
          <c:order val="7"/>
          <c:tx>
            <c:v>quartz 0.5 um, 50 mM</c:v>
          </c:tx>
          <c:spPr>
            <a:ln>
              <a:noFill/>
              <a:prstDash val="solid"/>
            </a:ln>
          </c:spPr>
          <c:marker>
            <c:symbol val="triangle"/>
            <c:size val="9"/>
            <c:spPr>
              <a:noFill/>
              <a:ln w="25400"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Data!$K$2:$K$3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Data!$L$2:$L$3</c:f>
              <c:numCache>
                <c:formatCode>General</c:formatCode>
                <c:ptCount val="2"/>
                <c:pt idx="0">
                  <c:v>2.2359999999999999E-5</c:v>
                </c:pt>
                <c:pt idx="1">
                  <c:v>5.3709999999999999E-5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2C-4C99-BE19-582AF2DC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9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 i="0">
                    <a:latin typeface="Aptos"/>
                  </a:rPr>
                  <a:t>pore velocity (m/day)</a:t>
                </a:r>
              </a:p>
            </c:rich>
          </c:tx>
          <c:layout>
            <c:manualLayout>
              <c:xMode val="edge"/>
              <c:yMode val="edge"/>
              <c:x val="0.41874931997136722"/>
              <c:y val="0.93391447368421054"/>
            </c:manualLayout>
          </c:layout>
          <c:overlay val="1"/>
        </c:title>
        <c:numFmt formatCode="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20"/>
        <c:crossesAt val="5.0000000000000021E-6"/>
        <c:crossBetween val="midCat"/>
      </c:valAx>
      <c:valAx>
        <c:axId val="20"/>
        <c:scaling>
          <c:logBase val="10"/>
          <c:orientation val="minMax"/>
          <c:max val="5.0000000000000012E-4"/>
          <c:min val="5.0000000000000021E-6"/>
        </c:scaling>
        <c:delete val="0"/>
        <c:axPos val="l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 i="0">
                    <a:latin typeface="Aptos"/>
                  </a:rPr>
                  <a:t>fitted </a:t>
                </a:r>
                <a:r>
                  <a:rPr lang="en-US" sz="1400" b="1" i="1">
                    <a:latin typeface="Aptos"/>
                  </a:rPr>
                  <a:t>k</a:t>
                </a:r>
                <a:r>
                  <a:rPr lang="en-US" sz="1400" b="1" i="1" baseline="-25000">
                    <a:latin typeface="Aptos"/>
                  </a:rPr>
                  <a:t>r</a:t>
                </a:r>
                <a:r>
                  <a:rPr lang="en-US" sz="1400" b="1" i="0">
                    <a:latin typeface="Aptos"/>
                  </a:rPr>
                  <a:t> (/s)</a:t>
                </a:r>
              </a:p>
            </c:rich>
          </c:tx>
          <c:layout>
            <c:manualLayout>
              <c:xMode val="edge"/>
              <c:yMode val="edge"/>
              <c:x val="1.0000095442615127E-2"/>
              <c:y val="0.31381578947368427"/>
            </c:manualLayout>
          </c:layout>
          <c:overlay val="1"/>
        </c:title>
        <c:numFmt formatCode="0.0E+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2839322357432593"/>
          <c:y val="8.9145299145299159E-2"/>
          <c:w val="0.38134764972560248"/>
          <c:h val="0.16927350427350427"/>
        </c:manualLayout>
      </c:layout>
      <c:overlay val="1"/>
      <c:spPr>
        <a:noFill/>
        <a:ln>
          <a:noFill/>
        </a:ln>
      </c:spPr>
      <c:txPr>
        <a:bodyPr/>
        <a:lstStyle/>
        <a:p>
          <a:pPr>
            <a:defRPr sz="1400" b="1">
              <a:latin typeface="Aptos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0" cy="3860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zoomScale="80" zoomScaleNormal="80" workbookViewId="0">
      <selection activeCell="L18" sqref="L18"/>
    </sheetView>
  </sheetViews>
  <sheetFormatPr defaultRowHeight="14.5" x14ac:dyDescent="0.35"/>
  <sheetData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/>
  </sheetViews>
  <sheetFormatPr defaultRowHeight="14.5" x14ac:dyDescent="0.35"/>
  <cols>
    <col min="3" max="3" width="24" customWidth="1"/>
    <col min="8" max="8" width="24" customWidth="1"/>
    <col min="13" max="13" width="24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6</v>
      </c>
      <c r="J1" t="s">
        <v>4</v>
      </c>
      <c r="K1" t="s">
        <v>7</v>
      </c>
      <c r="L1" t="s">
        <v>1</v>
      </c>
      <c r="M1" t="s">
        <v>2</v>
      </c>
      <c r="N1" t="s">
        <v>8</v>
      </c>
      <c r="O1" t="s">
        <v>4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35">
      <c r="A2">
        <v>4</v>
      </c>
      <c r="B2">
        <v>3.2230000000000001E-5</v>
      </c>
      <c r="C2" t="s">
        <v>13</v>
      </c>
      <c r="D2">
        <v>4</v>
      </c>
      <c r="E2">
        <v>3.2229999999999988E-5</v>
      </c>
      <c r="F2">
        <v>4</v>
      </c>
      <c r="G2">
        <v>1.347E-5</v>
      </c>
      <c r="H2" t="s">
        <v>14</v>
      </c>
      <c r="I2">
        <v>4</v>
      </c>
      <c r="J2">
        <v>1.347000000000001E-5</v>
      </c>
      <c r="K2">
        <v>4</v>
      </c>
      <c r="L2">
        <v>2.2359999999999999E-5</v>
      </c>
      <c r="M2" t="s">
        <v>15</v>
      </c>
      <c r="N2">
        <v>4</v>
      </c>
      <c r="O2">
        <v>2.2359999999999989E-5</v>
      </c>
      <c r="P2">
        <v>3.2</v>
      </c>
      <c r="Q2">
        <v>3.7490000000000002E-5</v>
      </c>
      <c r="R2">
        <v>3.2</v>
      </c>
      <c r="S2">
        <v>1.8159999999999999E-5</v>
      </c>
    </row>
    <row r="3" spans="1:19" x14ac:dyDescent="0.35">
      <c r="A3">
        <v>8</v>
      </c>
      <c r="B3">
        <v>2.9830000000000001E-5</v>
      </c>
      <c r="C3" t="s">
        <v>16</v>
      </c>
      <c r="D3">
        <v>8</v>
      </c>
      <c r="E3">
        <v>6.1347670064487044E-5</v>
      </c>
      <c r="F3">
        <v>8</v>
      </c>
      <c r="G3">
        <v>5.6239999999999997E-5</v>
      </c>
      <c r="H3" t="s">
        <v>17</v>
      </c>
      <c r="I3">
        <v>8</v>
      </c>
      <c r="J3">
        <v>5.6239999999999983E-5</v>
      </c>
      <c r="K3">
        <v>8</v>
      </c>
      <c r="L3">
        <v>5.3709999999999999E-5</v>
      </c>
      <c r="M3" t="s">
        <v>18</v>
      </c>
      <c r="N3">
        <v>8</v>
      </c>
      <c r="O3">
        <v>5.371000000000004E-5</v>
      </c>
      <c r="P3">
        <v>10</v>
      </c>
      <c r="Q3">
        <v>3.7490000000000002E-5</v>
      </c>
      <c r="R3">
        <v>10</v>
      </c>
      <c r="S3">
        <v>1.8159999999999999E-5</v>
      </c>
    </row>
    <row r="4" spans="1:19" x14ac:dyDescent="0.35">
      <c r="A4">
        <v>8</v>
      </c>
      <c r="B4">
        <v>8.5610000000000002E-5</v>
      </c>
      <c r="C4" t="s">
        <v>19</v>
      </c>
    </row>
    <row r="5" spans="1:19" x14ac:dyDescent="0.35">
      <c r="A5">
        <v>8</v>
      </c>
      <c r="B5">
        <v>9.0409999999999997E-5</v>
      </c>
      <c r="C5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2026-09-02T04:06:46Z</dcterms:created>
  <dcterms:modified xsi:type="dcterms:W3CDTF">2026-09-02T14:16:17Z</dcterms:modified>
</cp:coreProperties>
</file>