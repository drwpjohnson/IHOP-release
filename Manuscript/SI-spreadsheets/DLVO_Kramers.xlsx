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Tables\"/>
    </mc:Choice>
  </mc:AlternateContent>
  <xr:revisionPtr revIDLastSave="0" documentId="13_ncr:1_{D02C8A37-B512-4352-BA2A-A5DC324ED203}" xr6:coauthVersionLast="47" xr6:coauthVersionMax="47" xr10:uidLastSave="{00000000-0000-0000-0000-000000000000}"/>
  <bookViews>
    <workbookView xWindow="1450" yWindow="230" windowWidth="17750" windowHeight="10970" activeTab="4" xr2:uid="{00000000-000D-0000-FFFF-FFFF00000000}"/>
  </bookViews>
  <sheets>
    <sheet name="Constants" sheetId="1" r:id="rId1"/>
    <sheet name="Zeta_Hamaker" sheetId="2" r:id="rId2"/>
    <sheet name="Usec_grid" sheetId="3" r:id="rId3"/>
    <sheet name="Kramers" sheetId="4" r:id="rId4"/>
    <sheet name="Equation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9" i="3" l="1"/>
  <c r="E89" i="3"/>
  <c r="C89" i="3"/>
  <c r="H88" i="3"/>
  <c r="G88" i="3"/>
  <c r="F88" i="3"/>
  <c r="E88" i="3"/>
  <c r="C88" i="3"/>
  <c r="F87" i="3"/>
  <c r="E87" i="3"/>
  <c r="C87" i="3"/>
  <c r="H86" i="3"/>
  <c r="G86" i="3"/>
  <c r="F86" i="3"/>
  <c r="E86" i="3"/>
  <c r="C86" i="3"/>
  <c r="F85" i="3"/>
  <c r="E85" i="3"/>
  <c r="C85" i="3"/>
  <c r="F84" i="3"/>
  <c r="E84" i="3"/>
  <c r="C84" i="3"/>
  <c r="F83" i="3"/>
  <c r="E83" i="3"/>
  <c r="C83" i="3"/>
  <c r="H82" i="3"/>
  <c r="G82" i="3"/>
  <c r="F82" i="3"/>
  <c r="E82" i="3"/>
  <c r="C82" i="3"/>
  <c r="F81" i="3"/>
  <c r="E81" i="3"/>
  <c r="C81" i="3"/>
  <c r="H80" i="3"/>
  <c r="G80" i="3"/>
  <c r="F80" i="3"/>
  <c r="E80" i="3"/>
  <c r="C80" i="3"/>
  <c r="F79" i="3"/>
  <c r="E79" i="3"/>
  <c r="C79" i="3"/>
  <c r="F78" i="3"/>
  <c r="E78" i="3"/>
  <c r="C78" i="3"/>
  <c r="F77" i="3"/>
  <c r="E77" i="3"/>
  <c r="C77" i="3"/>
  <c r="H76" i="3"/>
  <c r="L76" i="3" s="1"/>
  <c r="G76" i="3"/>
  <c r="F76" i="3"/>
  <c r="E76" i="3"/>
  <c r="C76" i="3"/>
  <c r="F75" i="3"/>
  <c r="E75" i="3"/>
  <c r="C75" i="3"/>
  <c r="H74" i="3"/>
  <c r="L74" i="3" s="1"/>
  <c r="G74" i="3"/>
  <c r="F74" i="3"/>
  <c r="E74" i="3"/>
  <c r="C74" i="3"/>
  <c r="F73" i="3"/>
  <c r="E73" i="3"/>
  <c r="C73" i="3"/>
  <c r="F72" i="3"/>
  <c r="E72" i="3"/>
  <c r="C72" i="3"/>
  <c r="F71" i="3"/>
  <c r="E71" i="3"/>
  <c r="C71" i="3"/>
  <c r="H70" i="3"/>
  <c r="G70" i="3"/>
  <c r="F70" i="3"/>
  <c r="E70" i="3"/>
  <c r="C70" i="3"/>
  <c r="F69" i="3"/>
  <c r="E69" i="3"/>
  <c r="C69" i="3"/>
  <c r="H68" i="3"/>
  <c r="G68" i="3"/>
  <c r="F68" i="3"/>
  <c r="N68" i="3" s="1"/>
  <c r="E68" i="3"/>
  <c r="C68" i="3"/>
  <c r="F67" i="3"/>
  <c r="E67" i="3"/>
  <c r="C67" i="3"/>
  <c r="F66" i="3"/>
  <c r="E66" i="3"/>
  <c r="C66" i="3"/>
  <c r="F65" i="3"/>
  <c r="E65" i="3"/>
  <c r="C65" i="3"/>
  <c r="H64" i="3"/>
  <c r="G64" i="3"/>
  <c r="F64" i="3"/>
  <c r="E64" i="3"/>
  <c r="C64" i="3"/>
  <c r="F63" i="3"/>
  <c r="E63" i="3"/>
  <c r="C63" i="3"/>
  <c r="H62" i="3"/>
  <c r="G62" i="3"/>
  <c r="F62" i="3"/>
  <c r="E62" i="3"/>
  <c r="I62" i="3" s="1"/>
  <c r="C62" i="3"/>
  <c r="F61" i="3"/>
  <c r="E61" i="3"/>
  <c r="C61" i="3"/>
  <c r="F60" i="3"/>
  <c r="E60" i="3"/>
  <c r="C60" i="3"/>
  <c r="F59" i="3"/>
  <c r="E59" i="3"/>
  <c r="C59" i="3"/>
  <c r="H58" i="3"/>
  <c r="G58" i="3"/>
  <c r="F58" i="3"/>
  <c r="E58" i="3"/>
  <c r="I58" i="3" s="1"/>
  <c r="C58" i="3"/>
  <c r="F57" i="3"/>
  <c r="E57" i="3"/>
  <c r="C57" i="3"/>
  <c r="H56" i="3"/>
  <c r="G56" i="3"/>
  <c r="F56" i="3"/>
  <c r="E56" i="3"/>
  <c r="C56" i="3"/>
  <c r="F55" i="3"/>
  <c r="E55" i="3"/>
  <c r="C55" i="3"/>
  <c r="F54" i="3"/>
  <c r="E54" i="3"/>
  <c r="C54" i="3"/>
  <c r="F53" i="3"/>
  <c r="E53" i="3"/>
  <c r="C53" i="3"/>
  <c r="H52" i="3"/>
  <c r="G52" i="3"/>
  <c r="K52" i="3" s="1"/>
  <c r="F52" i="3"/>
  <c r="N52" i="3" s="1"/>
  <c r="E52" i="3"/>
  <c r="C52" i="3"/>
  <c r="F51" i="3"/>
  <c r="E51" i="3"/>
  <c r="C51" i="3"/>
  <c r="H50" i="3"/>
  <c r="L50" i="3" s="1"/>
  <c r="G50" i="3"/>
  <c r="F50" i="3"/>
  <c r="E50" i="3"/>
  <c r="C50" i="3"/>
  <c r="F49" i="3"/>
  <c r="E49" i="3"/>
  <c r="C49" i="3"/>
  <c r="F48" i="3"/>
  <c r="E48" i="3"/>
  <c r="C48" i="3"/>
  <c r="H47" i="3"/>
  <c r="G47" i="3"/>
  <c r="F47" i="3"/>
  <c r="E47" i="3"/>
  <c r="C47" i="3"/>
  <c r="H46" i="3"/>
  <c r="G46" i="3"/>
  <c r="F46" i="3"/>
  <c r="E46" i="3"/>
  <c r="C46" i="3"/>
  <c r="F45" i="3"/>
  <c r="E45" i="3"/>
  <c r="C45" i="3"/>
  <c r="H44" i="3"/>
  <c r="G44" i="3"/>
  <c r="F44" i="3"/>
  <c r="E44" i="3"/>
  <c r="I44" i="3" s="1"/>
  <c r="C44" i="3"/>
  <c r="F43" i="3"/>
  <c r="E43" i="3"/>
  <c r="C43" i="3"/>
  <c r="F42" i="3"/>
  <c r="E42" i="3"/>
  <c r="C42" i="3"/>
  <c r="H41" i="3"/>
  <c r="G41" i="3"/>
  <c r="F41" i="3"/>
  <c r="N41" i="3" s="1"/>
  <c r="E41" i="3"/>
  <c r="C41" i="3"/>
  <c r="I40" i="3"/>
  <c r="F40" i="4" s="1"/>
  <c r="H40" i="3"/>
  <c r="G40" i="3"/>
  <c r="F40" i="3"/>
  <c r="E40" i="3"/>
  <c r="C40" i="3"/>
  <c r="F39" i="3"/>
  <c r="E39" i="3"/>
  <c r="C39" i="3"/>
  <c r="H38" i="3"/>
  <c r="G38" i="3"/>
  <c r="F38" i="3"/>
  <c r="N38" i="3" s="1"/>
  <c r="E38" i="3"/>
  <c r="C38" i="3"/>
  <c r="F37" i="3"/>
  <c r="E37" i="3"/>
  <c r="C37" i="3"/>
  <c r="F36" i="3"/>
  <c r="E36" i="3"/>
  <c r="C36" i="3"/>
  <c r="H35" i="3"/>
  <c r="G35" i="3"/>
  <c r="F35" i="3"/>
  <c r="E35" i="3"/>
  <c r="C35" i="3"/>
  <c r="H34" i="3"/>
  <c r="G34" i="3"/>
  <c r="K34" i="3" s="1"/>
  <c r="F34" i="3"/>
  <c r="N34" i="3" s="1"/>
  <c r="E34" i="3"/>
  <c r="C34" i="3"/>
  <c r="F33" i="3"/>
  <c r="E33" i="3"/>
  <c r="C33" i="3"/>
  <c r="N32" i="3"/>
  <c r="H32" i="3"/>
  <c r="G32" i="3"/>
  <c r="F32" i="3"/>
  <c r="E32" i="3"/>
  <c r="C32" i="3"/>
  <c r="F31" i="3"/>
  <c r="E31" i="3"/>
  <c r="C31" i="3"/>
  <c r="F30" i="3"/>
  <c r="E30" i="3"/>
  <c r="C30" i="3"/>
  <c r="H29" i="3"/>
  <c r="L29" i="3" s="1"/>
  <c r="G29" i="3"/>
  <c r="K29" i="3" s="1"/>
  <c r="F29" i="3"/>
  <c r="E29" i="3"/>
  <c r="C29" i="3"/>
  <c r="H28" i="3"/>
  <c r="G28" i="3"/>
  <c r="K28" i="3" s="1"/>
  <c r="F28" i="3"/>
  <c r="E28" i="3"/>
  <c r="I28" i="3" s="1"/>
  <c r="C28" i="3"/>
  <c r="F27" i="3"/>
  <c r="E27" i="3"/>
  <c r="C27" i="3"/>
  <c r="K26" i="3"/>
  <c r="H26" i="3"/>
  <c r="G26" i="3"/>
  <c r="F26" i="3"/>
  <c r="E26" i="3"/>
  <c r="C26" i="3"/>
  <c r="F25" i="3"/>
  <c r="E25" i="3"/>
  <c r="C25" i="3"/>
  <c r="F24" i="3"/>
  <c r="E24" i="3"/>
  <c r="C24" i="3"/>
  <c r="H23" i="3"/>
  <c r="L23" i="3" s="1"/>
  <c r="G23" i="3"/>
  <c r="F23" i="3"/>
  <c r="E23" i="3"/>
  <c r="I23" i="3" s="1"/>
  <c r="C23" i="3"/>
  <c r="H22" i="3"/>
  <c r="L22" i="3" s="1"/>
  <c r="G22" i="3"/>
  <c r="K22" i="3" s="1"/>
  <c r="F22" i="3"/>
  <c r="N22" i="3" s="1"/>
  <c r="E22" i="3"/>
  <c r="C22" i="3"/>
  <c r="F21" i="3"/>
  <c r="E21" i="3"/>
  <c r="C21" i="3"/>
  <c r="K20" i="3"/>
  <c r="H20" i="3"/>
  <c r="L20" i="3" s="1"/>
  <c r="G20" i="3"/>
  <c r="F20" i="3"/>
  <c r="N20" i="3" s="1"/>
  <c r="E20" i="3"/>
  <c r="C20" i="3"/>
  <c r="F19" i="3"/>
  <c r="E19" i="3"/>
  <c r="C19" i="3"/>
  <c r="F18" i="3"/>
  <c r="E18" i="3"/>
  <c r="C18" i="3"/>
  <c r="N17" i="3"/>
  <c r="H17" i="3"/>
  <c r="L17" i="3" s="1"/>
  <c r="G17" i="3"/>
  <c r="F17" i="3"/>
  <c r="E17" i="3"/>
  <c r="I17" i="3" s="1"/>
  <c r="C17" i="3"/>
  <c r="H16" i="3"/>
  <c r="G16" i="3"/>
  <c r="F16" i="3"/>
  <c r="N16" i="3" s="1"/>
  <c r="E16" i="3"/>
  <c r="I16" i="3" s="1"/>
  <c r="C16" i="3"/>
  <c r="F15" i="3"/>
  <c r="E15" i="3"/>
  <c r="C15" i="3"/>
  <c r="H14" i="3"/>
  <c r="L14" i="3" s="1"/>
  <c r="G14" i="3"/>
  <c r="F14" i="3"/>
  <c r="E14" i="3"/>
  <c r="I14" i="3" s="1"/>
  <c r="C14" i="3"/>
  <c r="N14" i="3" s="1"/>
  <c r="F13" i="3"/>
  <c r="E13" i="3"/>
  <c r="C13" i="3"/>
  <c r="F12" i="3"/>
  <c r="E12" i="3"/>
  <c r="C12" i="3"/>
  <c r="H11" i="3"/>
  <c r="G11" i="3"/>
  <c r="K11" i="3" s="1"/>
  <c r="F11" i="3"/>
  <c r="N11" i="3" s="1"/>
  <c r="E11" i="3"/>
  <c r="C11" i="3"/>
  <c r="L10" i="3"/>
  <c r="K10" i="3"/>
  <c r="H10" i="3"/>
  <c r="G10" i="3"/>
  <c r="F10" i="3"/>
  <c r="E10" i="3"/>
  <c r="C10" i="3"/>
  <c r="F9" i="3"/>
  <c r="E9" i="3"/>
  <c r="C9" i="3"/>
  <c r="N8" i="3"/>
  <c r="K8" i="3"/>
  <c r="H8" i="3"/>
  <c r="L8" i="3" s="1"/>
  <c r="G8" i="3"/>
  <c r="F8" i="3"/>
  <c r="E8" i="3"/>
  <c r="I8" i="3" s="1"/>
  <c r="C8" i="3"/>
  <c r="F7" i="3"/>
  <c r="E7" i="3"/>
  <c r="C7" i="3"/>
  <c r="F6" i="3"/>
  <c r="E6" i="3"/>
  <c r="C6" i="3"/>
  <c r="C17" i="1"/>
  <c r="J16" i="3" l="1"/>
  <c r="F16" i="4"/>
  <c r="F8" i="4"/>
  <c r="J8" i="3"/>
  <c r="O10" i="3"/>
  <c r="F17" i="4"/>
  <c r="J17" i="3"/>
  <c r="P14" i="3"/>
  <c r="D14" i="4" s="1"/>
  <c r="H14" i="4" s="1"/>
  <c r="J44" i="3"/>
  <c r="F44" i="4"/>
  <c r="J58" i="3"/>
  <c r="F58" i="4"/>
  <c r="F62" i="4"/>
  <c r="J62" i="3"/>
  <c r="N28" i="3"/>
  <c r="J28" i="3"/>
  <c r="F28" i="4"/>
  <c r="N62" i="3"/>
  <c r="I86" i="3"/>
  <c r="F23" i="4"/>
  <c r="J23" i="3"/>
  <c r="J40" i="3"/>
  <c r="E74" i="4"/>
  <c r="E50" i="4"/>
  <c r="E34" i="4"/>
  <c r="E17" i="4"/>
  <c r="G17" i="4" s="1"/>
  <c r="K82" i="3"/>
  <c r="K70" i="3"/>
  <c r="E76" i="4"/>
  <c r="E52" i="4"/>
  <c r="E35" i="4"/>
  <c r="E20" i="4"/>
  <c r="I80" i="3"/>
  <c r="I68" i="3"/>
  <c r="I56" i="3"/>
  <c r="O52" i="3"/>
  <c r="P52" i="3" s="1"/>
  <c r="D52" i="4" s="1"/>
  <c r="H52" i="4" s="1"/>
  <c r="K46" i="3"/>
  <c r="O46" i="3" s="1"/>
  <c r="L41" i="3"/>
  <c r="I35" i="3"/>
  <c r="L32" i="3"/>
  <c r="O29" i="3"/>
  <c r="I26" i="3"/>
  <c r="K23" i="3"/>
  <c r="O23" i="3" s="1"/>
  <c r="O20" i="3"/>
  <c r="P20" i="3" s="1"/>
  <c r="D20" i="4" s="1"/>
  <c r="H20" i="4" s="1"/>
  <c r="L16" i="3"/>
  <c r="O16" i="3" s="1"/>
  <c r="P16" i="3" s="1"/>
  <c r="D16" i="4" s="1"/>
  <c r="H16" i="4" s="1"/>
  <c r="K14" i="3"/>
  <c r="O14" i="3" s="1"/>
  <c r="I10" i="3"/>
  <c r="E80" i="4"/>
  <c r="E56" i="4"/>
  <c r="E38" i="4"/>
  <c r="E22" i="4"/>
  <c r="E82" i="4"/>
  <c r="E58" i="4"/>
  <c r="E40" i="4"/>
  <c r="G40" i="4" s="1"/>
  <c r="E23" i="4"/>
  <c r="E8" i="4"/>
  <c r="G8" i="4" s="1"/>
  <c r="E86" i="4"/>
  <c r="E26" i="4"/>
  <c r="E10" i="4"/>
  <c r="N40" i="3"/>
  <c r="E62" i="4"/>
  <c r="E41" i="4"/>
  <c r="K88" i="3"/>
  <c r="O88" i="3" s="1"/>
  <c r="E88" i="4"/>
  <c r="E64" i="4"/>
  <c r="E44" i="4"/>
  <c r="G44" i="4" s="1"/>
  <c r="E28" i="4"/>
  <c r="E11" i="4"/>
  <c r="I88" i="3"/>
  <c r="I76" i="3"/>
  <c r="L68" i="3"/>
  <c r="I64" i="3"/>
  <c r="O64" i="3" s="1"/>
  <c r="L56" i="3"/>
  <c r="I52" i="3"/>
  <c r="L35" i="3"/>
  <c r="I29" i="3"/>
  <c r="L26" i="3"/>
  <c r="E68" i="4"/>
  <c r="E46" i="4"/>
  <c r="E29" i="4"/>
  <c r="E14" i="4"/>
  <c r="G14" i="4" s="1"/>
  <c r="I14" i="4" s="1"/>
  <c r="L80" i="3"/>
  <c r="K40" i="3"/>
  <c r="I20" i="3"/>
  <c r="E70" i="4"/>
  <c r="E47" i="4"/>
  <c r="E32" i="4"/>
  <c r="E16" i="4"/>
  <c r="G16" i="4" s="1"/>
  <c r="L82" i="3"/>
  <c r="O82" i="3" s="1"/>
  <c r="K80" i="3"/>
  <c r="O80" i="3" s="1"/>
  <c r="L70" i="3"/>
  <c r="K68" i="3"/>
  <c r="O68" i="3" s="1"/>
  <c r="P68" i="3" s="1"/>
  <c r="D68" i="4" s="1"/>
  <c r="H68" i="4" s="1"/>
  <c r="L11" i="3"/>
  <c r="K16" i="3"/>
  <c r="N29" i="3"/>
  <c r="P29" i="3" s="1"/>
  <c r="D29" i="4" s="1"/>
  <c r="H29" i="4" s="1"/>
  <c r="O32" i="3"/>
  <c r="P32" i="3" s="1"/>
  <c r="D32" i="4" s="1"/>
  <c r="H32" i="4" s="1"/>
  <c r="L34" i="3"/>
  <c r="O34" i="3" s="1"/>
  <c r="P34" i="3" s="1"/>
  <c r="D34" i="4" s="1"/>
  <c r="H34" i="4" s="1"/>
  <c r="I46" i="3"/>
  <c r="N47" i="3"/>
  <c r="L52" i="3"/>
  <c r="K62" i="3"/>
  <c r="O62" i="3" s="1"/>
  <c r="N64" i="3"/>
  <c r="N86" i="3"/>
  <c r="N88" i="3"/>
  <c r="O8" i="3"/>
  <c r="K35" i="3"/>
  <c r="O35" i="3" s="1"/>
  <c r="I41" i="3"/>
  <c r="K47" i="3"/>
  <c r="O47" i="3" s="1"/>
  <c r="K56" i="3"/>
  <c r="O56" i="3" s="1"/>
  <c r="L62" i="3"/>
  <c r="K64" i="3"/>
  <c r="I82" i="3"/>
  <c r="K86" i="3"/>
  <c r="O86" i="3" s="1"/>
  <c r="P8" i="3"/>
  <c r="D8" i="4" s="1"/>
  <c r="H8" i="4" s="1"/>
  <c r="K44" i="3"/>
  <c r="L47" i="3"/>
  <c r="K58" i="3"/>
  <c r="L64" i="3"/>
  <c r="N80" i="3"/>
  <c r="L86" i="3"/>
  <c r="L88" i="3"/>
  <c r="O17" i="3"/>
  <c r="P17" i="3" s="1"/>
  <c r="D17" i="4" s="1"/>
  <c r="H17" i="4" s="1"/>
  <c r="J14" i="3"/>
  <c r="F14" i="4"/>
  <c r="I32" i="3"/>
  <c r="K38" i="3"/>
  <c r="O38" i="3" s="1"/>
  <c r="P38" i="3" s="1"/>
  <c r="D38" i="4" s="1"/>
  <c r="H38" i="4" s="1"/>
  <c r="K41" i="3"/>
  <c r="L44" i="3"/>
  <c r="I47" i="3"/>
  <c r="I50" i="3"/>
  <c r="L58" i="3"/>
  <c r="I74" i="3"/>
  <c r="N76" i="3"/>
  <c r="I22" i="3"/>
  <c r="N23" i="3"/>
  <c r="L28" i="3"/>
  <c r="O28" i="3" s="1"/>
  <c r="L38" i="3"/>
  <c r="L46" i="3"/>
  <c r="N50" i="3"/>
  <c r="N74" i="3"/>
  <c r="N10" i="3"/>
  <c r="P10" i="3" s="1"/>
  <c r="D10" i="4" s="1"/>
  <c r="H10" i="4" s="1"/>
  <c r="I11" i="3"/>
  <c r="K17" i="3"/>
  <c r="N26" i="3"/>
  <c r="K32" i="3"/>
  <c r="I34" i="3"/>
  <c r="N35" i="3"/>
  <c r="I38" i="3"/>
  <c r="L40" i="3"/>
  <c r="O40" i="3" s="1"/>
  <c r="O44" i="3"/>
  <c r="N44" i="3"/>
  <c r="N46" i="3"/>
  <c r="K50" i="3"/>
  <c r="N56" i="3"/>
  <c r="O58" i="3"/>
  <c r="N58" i="3"/>
  <c r="P58" i="3" s="1"/>
  <c r="D58" i="4" s="1"/>
  <c r="H58" i="4" s="1"/>
  <c r="I70" i="3"/>
  <c r="K74" i="3"/>
  <c r="O74" i="3" s="1"/>
  <c r="K76" i="3"/>
  <c r="N70" i="3"/>
  <c r="N82" i="3"/>
  <c r="I17" i="4" l="1"/>
  <c r="F11" i="4"/>
  <c r="J11" i="3"/>
  <c r="J86" i="3"/>
  <c r="F86" i="4"/>
  <c r="O11" i="3"/>
  <c r="P11" i="3" s="1"/>
  <c r="D11" i="4" s="1"/>
  <c r="H11" i="4" s="1"/>
  <c r="J70" i="3"/>
  <c r="F70" i="4"/>
  <c r="G70" i="4" s="1"/>
  <c r="G38" i="4"/>
  <c r="I38" i="4" s="1"/>
  <c r="J50" i="3"/>
  <c r="F50" i="4"/>
  <c r="P74" i="3"/>
  <c r="D74" i="4" s="1"/>
  <c r="H74" i="4" s="1"/>
  <c r="P86" i="3"/>
  <c r="D86" i="4" s="1"/>
  <c r="H86" i="4" s="1"/>
  <c r="F22" i="4"/>
  <c r="G22" i="4" s="1"/>
  <c r="I22" i="4" s="1"/>
  <c r="J22" i="4" s="1"/>
  <c r="J22" i="3"/>
  <c r="J47" i="3"/>
  <c r="F47" i="4"/>
  <c r="F38" i="4"/>
  <c r="J38" i="3"/>
  <c r="P23" i="3"/>
  <c r="D23" i="4" s="1"/>
  <c r="H23" i="4" s="1"/>
  <c r="F76" i="4"/>
  <c r="J76" i="3"/>
  <c r="F26" i="4"/>
  <c r="J26" i="3"/>
  <c r="G62" i="4"/>
  <c r="J68" i="3"/>
  <c r="F68" i="4"/>
  <c r="G68" i="4" s="1"/>
  <c r="I68" i="4" s="1"/>
  <c r="J68" i="4" s="1"/>
  <c r="I16" i="4"/>
  <c r="J16" i="4" s="1"/>
  <c r="F64" i="4"/>
  <c r="G64" i="4" s="1"/>
  <c r="I64" i="4" s="1"/>
  <c r="J64" i="4" s="1"/>
  <c r="J64" i="3"/>
  <c r="G26" i="4"/>
  <c r="F56" i="4"/>
  <c r="G56" i="4" s="1"/>
  <c r="I56" i="4" s="1"/>
  <c r="J56" i="4" s="1"/>
  <c r="J56" i="3"/>
  <c r="G50" i="4"/>
  <c r="P62" i="3"/>
  <c r="D62" i="4" s="1"/>
  <c r="H62" i="4" s="1"/>
  <c r="P35" i="3"/>
  <c r="D35" i="4" s="1"/>
  <c r="H35" i="4" s="1"/>
  <c r="O41" i="3"/>
  <c r="P41" i="3" s="1"/>
  <c r="D41" i="4" s="1"/>
  <c r="H41" i="4" s="1"/>
  <c r="G47" i="4"/>
  <c r="I47" i="4" s="1"/>
  <c r="O26" i="3"/>
  <c r="P56" i="3"/>
  <c r="D56" i="4" s="1"/>
  <c r="H56" i="4" s="1"/>
  <c r="P80" i="3"/>
  <c r="D80" i="4" s="1"/>
  <c r="H80" i="4" s="1"/>
  <c r="F88" i="4"/>
  <c r="G88" i="4" s="1"/>
  <c r="I88" i="4" s="1"/>
  <c r="J88" i="4" s="1"/>
  <c r="J88" i="3"/>
  <c r="P82" i="3"/>
  <c r="D82" i="4" s="1"/>
  <c r="H82" i="4" s="1"/>
  <c r="J32" i="3"/>
  <c r="F32" i="4"/>
  <c r="J82" i="3"/>
  <c r="F82" i="4"/>
  <c r="P47" i="3"/>
  <c r="D47" i="4" s="1"/>
  <c r="H47" i="4" s="1"/>
  <c r="F20" i="4"/>
  <c r="G20" i="4" s="1"/>
  <c r="I20" i="4" s="1"/>
  <c r="J20" i="4" s="1"/>
  <c r="J20" i="3"/>
  <c r="F29" i="4"/>
  <c r="G29" i="4" s="1"/>
  <c r="I29" i="4" s="1"/>
  <c r="J29" i="4" s="1"/>
  <c r="J29" i="3"/>
  <c r="I40" i="4"/>
  <c r="J40" i="4" s="1"/>
  <c r="O76" i="3"/>
  <c r="O22" i="3"/>
  <c r="P22" i="3" s="1"/>
  <c r="D22" i="4" s="1"/>
  <c r="H22" i="4" s="1"/>
  <c r="P46" i="3"/>
  <c r="D46" i="4" s="1"/>
  <c r="H46" i="4" s="1"/>
  <c r="P26" i="3"/>
  <c r="D26" i="4" s="1"/>
  <c r="H26" i="4" s="1"/>
  <c r="J74" i="3"/>
  <c r="F74" i="4"/>
  <c r="G74" i="4" s="1"/>
  <c r="I74" i="4" s="1"/>
  <c r="J74" i="4" s="1"/>
  <c r="J46" i="3"/>
  <c r="F46" i="4"/>
  <c r="G46" i="4" s="1"/>
  <c r="I46" i="4" s="1"/>
  <c r="J46" i="4" s="1"/>
  <c r="G28" i="4"/>
  <c r="I28" i="4" s="1"/>
  <c r="J28" i="4" s="1"/>
  <c r="P40" i="3"/>
  <c r="D40" i="4" s="1"/>
  <c r="H40" i="4" s="1"/>
  <c r="G58" i="4"/>
  <c r="I58" i="4" s="1"/>
  <c r="J58" i="4" s="1"/>
  <c r="F10" i="4"/>
  <c r="G10" i="4" s="1"/>
  <c r="I10" i="4" s="1"/>
  <c r="J10" i="4" s="1"/>
  <c r="J10" i="3"/>
  <c r="F35" i="4"/>
  <c r="G35" i="4" s="1"/>
  <c r="I35" i="4" s="1"/>
  <c r="J35" i="4" s="1"/>
  <c r="J35" i="3"/>
  <c r="J80" i="3"/>
  <c r="F80" i="4"/>
  <c r="G80" i="4" s="1"/>
  <c r="I80" i="4" s="1"/>
  <c r="J80" i="4" s="1"/>
  <c r="P28" i="3"/>
  <c r="D28" i="4" s="1"/>
  <c r="H28" i="4" s="1"/>
  <c r="F41" i="4"/>
  <c r="G41" i="4" s="1"/>
  <c r="I41" i="4" s="1"/>
  <c r="J41" i="4" s="1"/>
  <c r="J41" i="3"/>
  <c r="P64" i="3"/>
  <c r="D64" i="4" s="1"/>
  <c r="H64" i="4" s="1"/>
  <c r="G32" i="4"/>
  <c r="I32" i="4" s="1"/>
  <c r="J32" i="4" s="1"/>
  <c r="G86" i="4"/>
  <c r="I86" i="4" s="1"/>
  <c r="J86" i="4" s="1"/>
  <c r="O70" i="3"/>
  <c r="P70" i="3" s="1"/>
  <c r="D70" i="4" s="1"/>
  <c r="H70" i="4" s="1"/>
  <c r="I8" i="4"/>
  <c r="J8" i="4" s="1"/>
  <c r="G76" i="4"/>
  <c r="I76" i="4" s="1"/>
  <c r="J76" i="4" s="1"/>
  <c r="J34" i="3"/>
  <c r="F34" i="4"/>
  <c r="G34" i="4" s="1"/>
  <c r="I34" i="4" s="1"/>
  <c r="J34" i="4" s="1"/>
  <c r="P76" i="3"/>
  <c r="D76" i="4" s="1"/>
  <c r="H76" i="4" s="1"/>
  <c r="G23" i="4"/>
  <c r="I23" i="4" s="1"/>
  <c r="J23" i="4" s="1"/>
  <c r="O50" i="3"/>
  <c r="P50" i="3" s="1"/>
  <c r="D50" i="4" s="1"/>
  <c r="H50" i="4" s="1"/>
  <c r="G11" i="4"/>
  <c r="I11" i="4" s="1"/>
  <c r="P44" i="3"/>
  <c r="D44" i="4" s="1"/>
  <c r="H44" i="4" s="1"/>
  <c r="I44" i="4" s="1"/>
  <c r="J44" i="4" s="1"/>
  <c r="P88" i="3"/>
  <c r="D88" i="4" s="1"/>
  <c r="H88" i="4" s="1"/>
  <c r="F52" i="4"/>
  <c r="G52" i="4" s="1"/>
  <c r="I52" i="4" s="1"/>
  <c r="J52" i="4" s="1"/>
  <c r="J52" i="3"/>
  <c r="G82" i="4"/>
  <c r="I82" i="4" s="1"/>
  <c r="J82" i="4" s="1"/>
  <c r="I70" i="4" l="1"/>
  <c r="J70" i="4" s="1"/>
  <c r="J47" i="4"/>
  <c r="I26" i="4"/>
  <c r="J26" i="4" s="1"/>
  <c r="J38" i="4"/>
  <c r="I50" i="4"/>
  <c r="J50" i="4" s="1"/>
  <c r="J14" i="4"/>
  <c r="J17" i="4"/>
  <c r="J11" i="4"/>
  <c r="I62" i="4"/>
  <c r="J62" i="4" s="1"/>
</calcChain>
</file>

<file path=xl/sharedStrings.xml><?xml version="1.0" encoding="utf-8"?>
<sst xmlns="http://schemas.openxmlformats.org/spreadsheetml/2006/main" count="586" uniqueCount="132">
  <si>
    <t>Physicochemical constants feeding |U_sec| and Kramers escape</t>
  </si>
  <si>
    <t>BLUE = hardcoded input, edit here and every derived cell in this workbook follows. Black = formula. Sources named in the last column.</t>
  </si>
  <si>
    <t>symbol</t>
  </si>
  <si>
    <t>quantity</t>
  </si>
  <si>
    <t>value</t>
  </si>
  <si>
    <t>unit</t>
  </si>
  <si>
    <t>source / note</t>
  </si>
  <si>
    <t>e</t>
  </si>
  <si>
    <t>elementary charge</t>
  </si>
  <si>
    <t>C</t>
  </si>
  <si>
    <t>CODATA; as used in fx_vs_usec.py</t>
  </si>
  <si>
    <t>k_B</t>
  </si>
  <si>
    <t>Boltzmann constant</t>
  </si>
  <si>
    <t>J/K</t>
  </si>
  <si>
    <t>T</t>
  </si>
  <si>
    <t>absolute temperature</t>
  </si>
  <si>
    <t>K</t>
  </si>
  <si>
    <t>293.2 K = 20.05 C. Fixed in fx_vs_usec.py / dlvo_kramers_size.py</t>
  </si>
  <si>
    <t>eps_0</t>
  </si>
  <si>
    <t>vacuum permittivity</t>
  </si>
  <si>
    <t>F/m</t>
  </si>
  <si>
    <t>CODATA</t>
  </si>
  <si>
    <t>eps_r</t>
  </si>
  <si>
    <t>relative permittivity of water</t>
  </si>
  <si>
    <t>-</t>
  </si>
  <si>
    <t>80.0 at 20 C, as used throughout</t>
  </si>
  <si>
    <t>N_A</t>
  </si>
  <si>
    <t>Avogadro constant</t>
  </si>
  <si>
    <t>1/mol</t>
  </si>
  <si>
    <t>z</t>
  </si>
  <si>
    <t>counter-ion valence</t>
  </si>
  <si>
    <t>1 -- all Li/Tong electrolytes are 1:1 (NaCl)</t>
  </si>
  <si>
    <t>lambda</t>
  </si>
  <si>
    <t>vdW retardation wavelength</t>
  </si>
  <si>
    <t>m</t>
  </si>
  <si>
    <t>100 nm; Gregory retardation, matched to Johnson 2018</t>
  </si>
  <si>
    <t>mu</t>
  </si>
  <si>
    <t>dynamic viscosity of water</t>
  </si>
  <si>
    <t>Pa s</t>
  </si>
  <si>
    <t>1.0e-3; Kramers prefactor only (dlvo_kramers_size.py)</t>
  </si>
  <si>
    <t>h_min</t>
  </si>
  <si>
    <t>lower bound of the |U_sec| search</t>
  </si>
  <si>
    <t>8 nm. Below this the primary minimum dominates and the search would find it instead</t>
  </si>
  <si>
    <t>h_grid</t>
  </si>
  <si>
    <t>energy-profile grid</t>
  </si>
  <si>
    <t>points</t>
  </si>
  <si>
    <t>linspace(2e-9, 140e-9, 70000) m -- IDENTICAL to fx_vs_usec.usec(); h_sec is grid-resolved to ~2 pm</t>
  </si>
  <si>
    <t>kT</t>
  </si>
  <si>
    <t>thermal energy</t>
  </si>
  <si>
    <t>J</t>
  </si>
  <si>
    <t>k_B * T -- the energy unit every |U_sec| in this workbook is divided by.</t>
  </si>
  <si>
    <t>Kramers anchor</t>
  </si>
  <si>
    <t>glass shared k_r</t>
  </si>
  <si>
    <t>/s at 1.1 um</t>
  </si>
  <si>
    <t>serial3_size_fit.py joint fit. Used ONLY to anchor the Kramers curve so its SIZE SLOPE can be compared with the fitted k_r; the absolute Kramers rate is ~1e8x higher. NOTE this is the SUPERSEDED constant (current: glass 3.75e-5 /s) -- kept because the published anchored curve used it.</t>
  </si>
  <si>
    <t>Zeta potentials and Hamaker constants -- Johnson 2018 Table SI-1</t>
  </si>
  <si>
    <t>BLUE = measured input. GREY = NO MEASUREMENT EXISTS. Do not fill a grey cell with an invented or silently interpolated value; any column at that ionic strength simply carries no |U_sec|.</t>
  </si>
  <si>
    <t>ionic strength (mM)</t>
  </si>
  <si>
    <t>zeta colloid (V)</t>
  </si>
  <si>
    <t>zeta collector, glass (V)</t>
  </si>
  <si>
    <t>zeta collector, quartz (V)</t>
  </si>
  <si>
    <t>note</t>
  </si>
  <si>
    <t>no measurement</t>
  </si>
  <si>
    <t>Table SI-1 covers 6 / 20 / 50 mM only -- NO colloid zeta at this IS</t>
  </si>
  <si>
    <t>Table SI-1 covers 6 / 20 / 50 mM only -- NO colloid zeta at this IS. 3 mM IS IN THE MANUSCRIPT: this gap must be closed with a measured or explicitly-flagged interpolated value</t>
  </si>
  <si>
    <t>quartz COLLECTOR not measured at 50 mM (Table SI-1 gives quartz at 6 / 20 mM)</t>
  </si>
  <si>
    <t>Hamaker constant A132 (colloid-water-collector)</t>
  </si>
  <si>
    <t>medium</t>
  </si>
  <si>
    <t>A132 (J)</t>
  </si>
  <si>
    <t>source</t>
  </si>
  <si>
    <t>glass</t>
  </si>
  <si>
    <t>polystyrene-water-glass</t>
  </si>
  <si>
    <t>quartz</t>
  </si>
  <si>
    <t>polystyrene-water-quartz</t>
  </si>
  <si>
    <t>|U_sec| for every colloid size x ionic strength x medium</t>
  </si>
  <si>
    <t>|U_sec|/kT = -min over h&gt;8nm of [ U_vdw(h) + U_edl(h) ] / kT, sphere-plate (grain &gt;&gt; colloid). Every column here is a FORMULA except h_sec, which needs a numerical minimisation over a 70,000-point grid and is written as a value (blue). The energies are then evaluated AT that h. Change a zeta materially and h_sec should be re-derived by re-running dlvo_parameter_table.py.</t>
  </si>
  <si>
    <t>Rows with no zeta at that ionic strength are greyed and carry no energies. 'in Li/Tong set?' marks the combinations that are actual experiments; the rest are filled in so the parameter space can be inspected for a-priori work.</t>
  </si>
  <si>
    <t>diameter (um)</t>
  </si>
  <si>
    <t>a_p radius (m)</t>
  </si>
  <si>
    <t>IS (mM)</t>
  </si>
  <si>
    <t>I (mol/m3)</t>
  </si>
  <si>
    <t>zeta collector (V)</t>
  </si>
  <si>
    <t>kappa (1/m)</t>
  </si>
  <si>
    <t>Debye length (nm)</t>
  </si>
  <si>
    <t>G1 = tanh(ze*z1/4kT)</t>
  </si>
  <si>
    <t>G2 = tanh(ze*z2/4kT)</t>
  </si>
  <si>
    <t>h_sec (nm)</t>
  </si>
  <si>
    <t>U_vdw(h_sec)/kT</t>
  </si>
  <si>
    <t>U_edl(h_sec)/kT</t>
  </si>
  <si>
    <t>|U_sec| (kT)</t>
  </si>
  <si>
    <t>in Li/Tong set?</t>
  </si>
  <si>
    <t>no zeta</t>
  </si>
  <si>
    <t>yes</t>
  </si>
  <si>
    <t>84 rows = 2 media x 7 sizes x 6 ionic strengths. |U_sec| is proportional to colloid radius (both energy terms scale with a), so at fixed IS the depth doubles when the diameter doubles.</t>
  </si>
  <si>
    <t>Kramers escape from the secondary minimum -- the single-colloid prediction</t>
  </si>
  <si>
    <t>D(a) = kT / (6 pi mu a)   [Stokes-Einstein]        k_r,abs = D * kappa^2 * exp(-|U_sec|/kT)</t>
  </si>
  <si>
    <t>Well width taken as the Debye length, so the attempt frequency is D*kappa^2. 'anchored' rescales the curve to the glass shared constant at 1.1 um so its SIZE SLOPE is comparable with the fitted k_r -- the absolute rate is ~1e8x too high, which is the second refutation. See dlvo_kramers_size.py and kr_trend_analysis.md.</t>
  </si>
  <si>
    <t>D (m2/s)</t>
  </si>
  <si>
    <t>kappa^2 (1/m2)</t>
  </si>
  <si>
    <t>attempt freq D*kappa^2 (1/s)</t>
  </si>
  <si>
    <t>exp(-|U_sec|)</t>
  </si>
  <si>
    <t>k_r absolute (1/s)</t>
  </si>
  <si>
    <t>k_r anchored (1/s)</t>
  </si>
  <si>
    <t>Anchor cell for the 'k_r anchored' column is I40 (glass, 1.1 um, 20 mM), matching dlvo_kramers_size.py.</t>
  </si>
  <si>
    <t>RESULT this table reproduces: |U_sec| runs ~0.18 -&gt; 3.55 kT over 0.1-2.0 um at 20 mM glass, and the anchored escape rate swings ~584x across that range -- against a fitted k_r that is flat in size. That swing is the refutation of single-colloid Kramers escape as the mechanism behind k_r.</t>
  </si>
  <si>
    <t>Equations, in the exact form implemented</t>
  </si>
  <si>
    <t>van der Waals</t>
  </si>
  <si>
    <t>U_vdw(h) = -(A132 * a_p) / (6h) * 1 / (1 + 14h/lambda)    [Gregory-retarded, sphere-plate]</t>
  </si>
  <si>
    <t>electrostatic</t>
  </si>
  <si>
    <t>U_edl(h) = 64*pi*eps0*eps_r*a_p*(kT/(z*e))^2 * G1*G2 * exp(-kappa*h)    [LSA, constant potential]</t>
  </si>
  <si>
    <t>G_i = tanh( z*e*zeta_i / (4kT) )   for i = colloid, collector</t>
  </si>
  <si>
    <t>Debye parameter</t>
  </si>
  <si>
    <t>kappa = sqrt( 2*N_A*e^2*I / (eps0*eps_r*kT) ),  I in mol/m3;  Debye length = 1/kappa</t>
  </si>
  <si>
    <t>secondary minimum</t>
  </si>
  <si>
    <t>|U_sec| = -min over h &gt; 8 nm of [ U_vdw(h) + U_edl(h) ],  reported in units of kT</t>
  </si>
  <si>
    <t>both terms scale linearly with a_p, so |U_sec| is PROPORTIONAL TO COLLOID RADIUS at fixed chemistry</t>
  </si>
  <si>
    <t>diffusivity</t>
  </si>
  <si>
    <t>D(a_p) = kT / (6*pi*mu*a_p)    [Stokes-Einstein; ~1/a]</t>
  </si>
  <si>
    <t>Kramers escape</t>
  </si>
  <si>
    <t>k_r(a_p) = D * kappa^2 * exp( -|U_sec|/kT )    [overdamped; well width ~ Debye length]</t>
  </si>
  <si>
    <t>Provenance</t>
  </si>
  <si>
    <t>|U_sec|: fx_vs_usec.usec(), imported by fx_trend.py as the single copy of this physics. This workbook reproduces it exactly (self-check on every build) and additionally reports h_sec.</t>
  </si>
  <si>
    <t>Kramers: dlvo_kramers_size.py.</t>
  </si>
  <si>
    <t>zeta, Hamaker: fx_trend.py ZETA_COLLOID / ZETA_COLLECTOR / A_HAM, from Johnson 2018 Table SI-1; provenance in Records/data_inventory.md section 6.</t>
  </si>
  <si>
    <t>sizes and ionic strengths: every distinct value in Data/LiTong_experimental_data_tidy.csv.</t>
  </si>
  <si>
    <t>Reproducer for this workbook: Code/dlvo_parameter_table.py.</t>
  </si>
  <si>
    <t>CAVEATS</t>
  </si>
  <si>
    <t>TWO ZETA GAPS, BOTH REAL. No colloid or collector zeta exists at 1, 3 or 10 mM, and no QUARTZ collector zeta at 50 mM. Those rows are greyed and carry no |U_sec|. 3 mM is in the manuscript, so that gap needs a measured or explicitly-flagged interpolated zeta -- not a silent fill.</t>
  </si>
  <si>
    <t>|U_sec| does NOT encode velocity. Size, ionic strength and mineralogy act through it; the sweep side of trap-vs-sweep capture is a separate, hidden variable.</t>
  </si>
  <si>
    <t>The 50 mM colloid zeta (-0.040 V) is EXTRAPOLATED beyond the 20 mM end of Table SI-1 -- flagged in part2_apriori_alpha_machinery.md section 1.1a and carried here unchanged.</t>
  </si>
  <si>
    <t>The Kramers anchor 5.58e-5 /s is the SUPERSEDED glass constant (current 3.75e-5 /s). It is retained because the published anchored curve used it; the anchoring affects only the vertical placement of the curve, never its size slope, which is the refutation.</t>
  </si>
  <si>
    <t>h_sec is a value, not a formula -- it needs a numerical minimisation. Re-run the reproducer after any material change to a zeta or Hamaker constant.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</si>
</sst>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E+00"/>
    <numFmt numFmtId="165" formatCode="0.000"/>
    <numFmt numFmtId="166" formatCode="0.0"/>
    <numFmt numFmtId="167" formatCode="0.0000"/>
  </numFmts>
  <fonts count="7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2F2F2"/>
        <b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164" fontId="5" fillId="0" borderId="1" xfId="0" applyNumberFormat="1" applyFont="1" applyBorder="1"/>
    <xf numFmtId="0" fontId="2" fillId="0" borderId="1" xfId="0" applyFont="1" applyBorder="1"/>
    <xf numFmtId="165" fontId="5" fillId="0" borderId="1" xfId="0" applyNumberFormat="1" applyFont="1" applyBorder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4" fontId="5" fillId="0" borderId="0" xfId="0" applyNumberFormat="1" applyFont="1"/>
    <xf numFmtId="166" fontId="6" fillId="0" borderId="1" xfId="0" applyNumberFormat="1" applyFont="1" applyBorder="1"/>
    <xf numFmtId="0" fontId="2" fillId="3" borderId="1" xfId="0" applyFont="1" applyFill="1" applyBorder="1"/>
    <xf numFmtId="0" fontId="4" fillId="3" borderId="1" xfId="0" applyFont="1" applyFill="1" applyBorder="1"/>
    <xf numFmtId="2" fontId="5" fillId="3" borderId="1" xfId="0" applyNumberFormat="1" applyFont="1" applyFill="1" applyBorder="1"/>
    <xf numFmtId="164" fontId="4" fillId="3" borderId="1" xfId="0" applyNumberFormat="1" applyFont="1" applyFill="1" applyBorder="1"/>
    <xf numFmtId="166" fontId="5" fillId="3" borderId="1" xfId="0" applyNumberFormat="1" applyFont="1" applyFill="1" applyBorder="1"/>
    <xf numFmtId="166" fontId="4" fillId="3" borderId="1" xfId="0" applyNumberFormat="1" applyFont="1" applyFill="1" applyBorder="1"/>
    <xf numFmtId="2" fontId="5" fillId="0" borderId="1" xfId="0" applyNumberFormat="1" applyFont="1" applyBorder="1"/>
    <xf numFmtId="164" fontId="4" fillId="0" borderId="1" xfId="0" applyNumberFormat="1" applyFont="1" applyBorder="1"/>
    <xf numFmtId="166" fontId="5" fillId="0" borderId="1" xfId="0" applyNumberFormat="1" applyFont="1" applyBorder="1"/>
    <xf numFmtId="166" fontId="4" fillId="0" borderId="1" xfId="0" applyNumberFormat="1" applyFont="1" applyBorder="1"/>
    <xf numFmtId="165" fontId="4" fillId="0" borderId="1" xfId="0" applyNumberFormat="1" applyFont="1" applyBorder="1"/>
    <xf numFmtId="2" fontId="4" fillId="0" borderId="1" xfId="0" applyNumberFormat="1" applyFont="1" applyBorder="1"/>
    <xf numFmtId="167" fontId="4" fillId="0" borderId="1" xfId="0" applyNumberFormat="1" applyFont="1" applyBorder="1"/>
    <xf numFmtId="165" fontId="3" fillId="0" borderId="1" xfId="0" applyNumberFormat="1" applyFont="1" applyBorder="1"/>
    <xf numFmtId="2" fontId="4" fillId="3" borderId="1" xfId="0" applyNumberFormat="1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zoomScaleNormal="100" workbookViewId="0"/>
  </sheetViews>
  <sheetFormatPr defaultColWidth="8.6328125" defaultRowHeight="14.5" x14ac:dyDescent="0.35"/>
  <cols>
    <col min="1" max="1" width="12" customWidth="1"/>
    <col min="2" max="2" width="28.26953125" customWidth="1"/>
    <col min="3" max="3" width="16" customWidth="1"/>
    <col min="4" max="4" width="11.7265625" customWidth="1"/>
    <col min="5" max="5" width="74" customWidth="1"/>
  </cols>
  <sheetData>
    <row r="1" spans="1:5" ht="15.5" x14ac:dyDescent="0.35">
      <c r="A1" s="1" t="s">
        <v>0</v>
      </c>
    </row>
    <row r="2" spans="1:5" x14ac:dyDescent="0.35">
      <c r="A2" s="2" t="s">
        <v>1</v>
      </c>
    </row>
    <row r="4" spans="1:5" ht="30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5">
      <c r="A5" s="4" t="s">
        <v>7</v>
      </c>
      <c r="B5" s="5" t="s">
        <v>8</v>
      </c>
      <c r="C5" s="6">
        <v>1.602E-19</v>
      </c>
      <c r="D5" s="5" t="s">
        <v>9</v>
      </c>
      <c r="E5" s="7" t="s">
        <v>10</v>
      </c>
    </row>
    <row r="6" spans="1:5" x14ac:dyDescent="0.35">
      <c r="A6" s="4" t="s">
        <v>11</v>
      </c>
      <c r="B6" s="5" t="s">
        <v>12</v>
      </c>
      <c r="C6" s="6">
        <v>1.3809999999999999E-23</v>
      </c>
      <c r="D6" s="5" t="s">
        <v>13</v>
      </c>
      <c r="E6" s="7" t="s">
        <v>10</v>
      </c>
    </row>
    <row r="7" spans="1:5" x14ac:dyDescent="0.35">
      <c r="A7" s="4" t="s">
        <v>14</v>
      </c>
      <c r="B7" s="5" t="s">
        <v>15</v>
      </c>
      <c r="C7" s="8">
        <v>293.2</v>
      </c>
      <c r="D7" s="5" t="s">
        <v>16</v>
      </c>
      <c r="E7" s="7" t="s">
        <v>17</v>
      </c>
    </row>
    <row r="8" spans="1:5" x14ac:dyDescent="0.35">
      <c r="A8" s="4" t="s">
        <v>18</v>
      </c>
      <c r="B8" s="5" t="s">
        <v>19</v>
      </c>
      <c r="C8" s="6">
        <v>8.8539999999999992E-12</v>
      </c>
      <c r="D8" s="5" t="s">
        <v>20</v>
      </c>
      <c r="E8" s="7" t="s">
        <v>21</v>
      </c>
    </row>
    <row r="9" spans="1:5" x14ac:dyDescent="0.35">
      <c r="A9" s="4" t="s">
        <v>22</v>
      </c>
      <c r="B9" s="5" t="s">
        <v>23</v>
      </c>
      <c r="C9" s="8">
        <v>80</v>
      </c>
      <c r="D9" s="5" t="s">
        <v>24</v>
      </c>
      <c r="E9" s="7" t="s">
        <v>25</v>
      </c>
    </row>
    <row r="10" spans="1:5" x14ac:dyDescent="0.35">
      <c r="A10" s="4" t="s">
        <v>26</v>
      </c>
      <c r="B10" s="5" t="s">
        <v>27</v>
      </c>
      <c r="C10" s="6">
        <v>6.0220000000000003E+23</v>
      </c>
      <c r="D10" s="5" t="s">
        <v>28</v>
      </c>
      <c r="E10" s="7" t="s">
        <v>21</v>
      </c>
    </row>
    <row r="11" spans="1:5" x14ac:dyDescent="0.35">
      <c r="A11" s="4" t="s">
        <v>29</v>
      </c>
      <c r="B11" s="5" t="s">
        <v>30</v>
      </c>
      <c r="C11" s="8">
        <v>1</v>
      </c>
      <c r="D11" s="5" t="s">
        <v>24</v>
      </c>
      <c r="E11" s="7" t="s">
        <v>31</v>
      </c>
    </row>
    <row r="12" spans="1:5" x14ac:dyDescent="0.35">
      <c r="A12" s="4" t="s">
        <v>32</v>
      </c>
      <c r="B12" s="5" t="s">
        <v>33</v>
      </c>
      <c r="C12" s="6">
        <v>9.9999999999999995E-8</v>
      </c>
      <c r="D12" s="5" t="s">
        <v>34</v>
      </c>
      <c r="E12" s="7" t="s">
        <v>35</v>
      </c>
    </row>
    <row r="13" spans="1:5" x14ac:dyDescent="0.35">
      <c r="A13" s="4" t="s">
        <v>36</v>
      </c>
      <c r="B13" s="5" t="s">
        <v>37</v>
      </c>
      <c r="C13" s="8">
        <v>1E-3</v>
      </c>
      <c r="D13" s="5" t="s">
        <v>38</v>
      </c>
      <c r="E13" s="7" t="s">
        <v>39</v>
      </c>
    </row>
    <row r="14" spans="1:5" x14ac:dyDescent="0.35">
      <c r="A14" s="4" t="s">
        <v>40</v>
      </c>
      <c r="B14" s="5" t="s">
        <v>41</v>
      </c>
      <c r="C14" s="6">
        <v>8.0000000000000005E-9</v>
      </c>
      <c r="D14" s="5" t="s">
        <v>34</v>
      </c>
      <c r="E14" s="7" t="s">
        <v>42</v>
      </c>
    </row>
    <row r="15" spans="1:5" x14ac:dyDescent="0.35">
      <c r="A15" s="4" t="s">
        <v>43</v>
      </c>
      <c r="B15" s="5" t="s">
        <v>44</v>
      </c>
      <c r="C15" s="6">
        <v>70000</v>
      </c>
      <c r="D15" s="5" t="s">
        <v>45</v>
      </c>
      <c r="E15" s="7" t="s">
        <v>46</v>
      </c>
    </row>
    <row r="17" spans="1:5" x14ac:dyDescent="0.35">
      <c r="A17" s="9" t="s">
        <v>47</v>
      </c>
      <c r="B17" s="10" t="s">
        <v>48</v>
      </c>
      <c r="C17" s="11">
        <f>C6*C7</f>
        <v>4.0490919999999996E-21</v>
      </c>
      <c r="D17" s="10" t="s">
        <v>49</v>
      </c>
      <c r="E17" s="2" t="s">
        <v>50</v>
      </c>
    </row>
    <row r="19" spans="1:5" x14ac:dyDescent="0.35">
      <c r="A19" s="9" t="s">
        <v>51</v>
      </c>
      <c r="B19" s="10" t="s">
        <v>52</v>
      </c>
      <c r="C19" s="12">
        <v>5.5800000000000001E-5</v>
      </c>
      <c r="D19" s="10" t="s">
        <v>53</v>
      </c>
      <c r="E19" s="2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/>
  </sheetViews>
  <sheetFormatPr defaultColWidth="8.6328125" defaultRowHeight="14.5" x14ac:dyDescent="0.35"/>
  <cols>
    <col min="1" max="1" width="13.90625" customWidth="1"/>
    <col min="2" max="2" width="15.81640625" customWidth="1"/>
    <col min="3" max="3" width="42.54296875" customWidth="1"/>
    <col min="4" max="4" width="24" customWidth="1"/>
    <col min="5" max="5" width="62" customWidth="1"/>
  </cols>
  <sheetData>
    <row r="1" spans="1:5" ht="15.5" x14ac:dyDescent="0.35">
      <c r="A1" s="1" t="s">
        <v>55</v>
      </c>
    </row>
    <row r="2" spans="1:5" x14ac:dyDescent="0.35">
      <c r="A2" s="2" t="s">
        <v>56</v>
      </c>
    </row>
    <row r="4" spans="1:5" ht="30" customHeight="1" x14ac:dyDescent="0.35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</row>
    <row r="5" spans="1:5" x14ac:dyDescent="0.35">
      <c r="A5" s="13">
        <v>1</v>
      </c>
      <c r="B5" s="14" t="s">
        <v>62</v>
      </c>
      <c r="C5" s="14" t="s">
        <v>62</v>
      </c>
      <c r="D5" s="14" t="s">
        <v>62</v>
      </c>
      <c r="E5" s="7" t="s">
        <v>63</v>
      </c>
    </row>
    <row r="6" spans="1:5" x14ac:dyDescent="0.35">
      <c r="A6" s="13">
        <v>3</v>
      </c>
      <c r="B6" s="14" t="s">
        <v>62</v>
      </c>
      <c r="C6" s="14" t="s">
        <v>62</v>
      </c>
      <c r="D6" s="14" t="s">
        <v>62</v>
      </c>
      <c r="E6" s="7" t="s">
        <v>64</v>
      </c>
    </row>
    <row r="7" spans="1:5" x14ac:dyDescent="0.35">
      <c r="A7" s="13">
        <v>6</v>
      </c>
      <c r="B7" s="8">
        <v>-6.4000000000000001E-2</v>
      </c>
      <c r="C7" s="8">
        <v>-7.0000000000000007E-2</v>
      </c>
      <c r="D7" s="8">
        <v>-8.3000000000000004E-2</v>
      </c>
      <c r="E7" s="7"/>
    </row>
    <row r="8" spans="1:5" x14ac:dyDescent="0.35">
      <c r="A8" s="13">
        <v>10</v>
      </c>
      <c r="B8" s="14" t="s">
        <v>62</v>
      </c>
      <c r="C8" s="14" t="s">
        <v>62</v>
      </c>
      <c r="D8" s="14" t="s">
        <v>62</v>
      </c>
      <c r="E8" s="7" t="s">
        <v>63</v>
      </c>
    </row>
    <row r="9" spans="1:5" x14ac:dyDescent="0.35">
      <c r="A9" s="13">
        <v>20</v>
      </c>
      <c r="B9" s="8">
        <v>-0.05</v>
      </c>
      <c r="C9" s="8">
        <v>-5.0999999999999997E-2</v>
      </c>
      <c r="D9" s="8">
        <v>-6.9000000000000006E-2</v>
      </c>
      <c r="E9" s="7"/>
    </row>
    <row r="10" spans="1:5" x14ac:dyDescent="0.35">
      <c r="A10" s="13">
        <v>50</v>
      </c>
      <c r="B10" s="8">
        <v>-0.04</v>
      </c>
      <c r="C10" s="8">
        <v>-3.7999999999999999E-2</v>
      </c>
      <c r="D10" s="14" t="s">
        <v>62</v>
      </c>
      <c r="E10" s="7" t="s">
        <v>65</v>
      </c>
    </row>
    <row r="13" spans="1:5" x14ac:dyDescent="0.35">
      <c r="A13" s="9" t="s">
        <v>66</v>
      </c>
    </row>
    <row r="14" spans="1:5" ht="30" customHeight="1" x14ac:dyDescent="0.35">
      <c r="A14" s="3" t="s">
        <v>67</v>
      </c>
      <c r="B14" s="3" t="s">
        <v>68</v>
      </c>
      <c r="C14" s="3" t="s">
        <v>69</v>
      </c>
    </row>
    <row r="15" spans="1:5" x14ac:dyDescent="0.35">
      <c r="A15" s="5" t="s">
        <v>70</v>
      </c>
      <c r="B15" s="6">
        <v>7.1699999999999994E-21</v>
      </c>
      <c r="C15" s="7" t="s">
        <v>71</v>
      </c>
    </row>
    <row r="16" spans="1:5" x14ac:dyDescent="0.35">
      <c r="A16" s="5" t="s">
        <v>72</v>
      </c>
      <c r="B16" s="6">
        <v>1.9600000000000001E-20</v>
      </c>
      <c r="C16" s="7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1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3" width="13" customWidth="1"/>
    <col min="4" max="4" width="9" customWidth="1"/>
    <col min="5" max="6" width="12" customWidth="1"/>
    <col min="7" max="7" width="13" customWidth="1"/>
    <col min="8" max="8" width="14" customWidth="1"/>
    <col min="9" max="9" width="13" customWidth="1"/>
    <col min="10" max="10" width="14" customWidth="1"/>
    <col min="11" max="12" width="16" customWidth="1"/>
    <col min="13" max="13" width="12" customWidth="1"/>
    <col min="14" max="15" width="15" customWidth="1"/>
    <col min="16" max="16" width="13" customWidth="1"/>
    <col min="17" max="17" width="14" customWidth="1"/>
  </cols>
  <sheetData>
    <row r="1" spans="1:17" ht="15.5" x14ac:dyDescent="0.35">
      <c r="A1" s="1" t="s">
        <v>74</v>
      </c>
    </row>
    <row r="2" spans="1:17" x14ac:dyDescent="0.35">
      <c r="A2" s="2" t="s">
        <v>75</v>
      </c>
    </row>
    <row r="3" spans="1:17" x14ac:dyDescent="0.35">
      <c r="A3" s="2" t="s">
        <v>76</v>
      </c>
    </row>
    <row r="5" spans="1:17" ht="30" customHeight="1" x14ac:dyDescent="0.35">
      <c r="A5" s="3" t="s">
        <v>67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68</v>
      </c>
      <c r="G5" s="3" t="s">
        <v>58</v>
      </c>
      <c r="H5" s="3" t="s">
        <v>81</v>
      </c>
      <c r="I5" s="3" t="s">
        <v>82</v>
      </c>
      <c r="J5" s="3" t="s">
        <v>83</v>
      </c>
      <c r="K5" s="3" t="s">
        <v>84</v>
      </c>
      <c r="L5" s="3" t="s">
        <v>85</v>
      </c>
      <c r="M5" s="3" t="s">
        <v>86</v>
      </c>
      <c r="N5" s="3" t="s">
        <v>87</v>
      </c>
      <c r="O5" s="3" t="s">
        <v>88</v>
      </c>
      <c r="P5" s="3" t="s">
        <v>89</v>
      </c>
      <c r="Q5" s="3" t="s">
        <v>90</v>
      </c>
    </row>
    <row r="6" spans="1:17" x14ac:dyDescent="0.35">
      <c r="A6" s="15" t="s">
        <v>70</v>
      </c>
      <c r="B6" s="16">
        <v>0.1</v>
      </c>
      <c r="C6" s="17">
        <f t="shared" ref="C6:C37" si="0">B6/2*0.000001</f>
        <v>4.9999999999999998E-8</v>
      </c>
      <c r="D6" s="18">
        <v>1</v>
      </c>
      <c r="E6" s="19">
        <f t="shared" ref="E6:E37" si="1">D6</f>
        <v>1</v>
      </c>
      <c r="F6" s="17">
        <f>Zeta_Hamaker!$B$15</f>
        <v>7.1699999999999994E-21</v>
      </c>
      <c r="G6" s="14" t="s">
        <v>91</v>
      </c>
      <c r="H6" s="14" t="s">
        <v>91</v>
      </c>
      <c r="I6" s="14"/>
      <c r="J6" s="14"/>
      <c r="K6" s="14"/>
      <c r="L6" s="14"/>
      <c r="M6" s="14"/>
      <c r="N6" s="14"/>
      <c r="O6" s="14"/>
      <c r="P6" s="14"/>
      <c r="Q6" s="15" t="s">
        <v>24</v>
      </c>
    </row>
    <row r="7" spans="1:17" x14ac:dyDescent="0.35">
      <c r="A7" s="15" t="s">
        <v>70</v>
      </c>
      <c r="B7" s="16">
        <v>0.1</v>
      </c>
      <c r="C7" s="17">
        <f t="shared" si="0"/>
        <v>4.9999999999999998E-8</v>
      </c>
      <c r="D7" s="18">
        <v>3</v>
      </c>
      <c r="E7" s="19">
        <f t="shared" si="1"/>
        <v>3</v>
      </c>
      <c r="F7" s="17">
        <f>Zeta_Hamaker!$B$15</f>
        <v>7.1699999999999994E-21</v>
      </c>
      <c r="G7" s="14" t="s">
        <v>91</v>
      </c>
      <c r="H7" s="14" t="s">
        <v>91</v>
      </c>
      <c r="I7" s="14"/>
      <c r="J7" s="14"/>
      <c r="K7" s="14"/>
      <c r="L7" s="14"/>
      <c r="M7" s="14"/>
      <c r="N7" s="14"/>
      <c r="O7" s="14"/>
      <c r="P7" s="14"/>
      <c r="Q7" s="15" t="s">
        <v>24</v>
      </c>
    </row>
    <row r="8" spans="1:17" x14ac:dyDescent="0.35">
      <c r="A8" s="5" t="s">
        <v>70</v>
      </c>
      <c r="B8" s="20">
        <v>0.1</v>
      </c>
      <c r="C8" s="21">
        <f t="shared" si="0"/>
        <v>4.9999999999999998E-8</v>
      </c>
      <c r="D8" s="22">
        <v>6</v>
      </c>
      <c r="E8" s="23">
        <f t="shared" si="1"/>
        <v>6</v>
      </c>
      <c r="F8" s="21">
        <f>Zeta_Hamaker!$B$15</f>
        <v>7.1699999999999994E-21</v>
      </c>
      <c r="G8" s="24">
        <f>Zeta_Hamaker!$B$7</f>
        <v>-6.4000000000000001E-2</v>
      </c>
      <c r="H8" s="24">
        <f>Zeta_Hamaker!$C$7</f>
        <v>-7.0000000000000007E-2</v>
      </c>
      <c r="I8" s="21">
        <f>SQRT(2*Constants!$C$10*Constants!$C$5^2*E8/(Constants!$C$8*Constants!$C$9*Constants!$C$17))</f>
        <v>254290382.91347721</v>
      </c>
      <c r="J8" s="25">
        <f>1/I8*1000000000</f>
        <v>3.9325120696375371</v>
      </c>
      <c r="K8" s="26">
        <f>TANH(Constants!$C$11*Constants!$C$5*G8/(4*Constants!$C$17))</f>
        <v>-0.5601356355893784</v>
      </c>
      <c r="L8" s="26">
        <f>TANH(Constants!$C$11*Constants!$C$5*H8/(4*Constants!$C$17))</f>
        <v>-0.59950714590437115</v>
      </c>
      <c r="M8" s="20">
        <v>41.882569750996502</v>
      </c>
      <c r="N8" s="26">
        <f>(-(F8*C8/(6*M8/1000000000))/(1+14*(M8/1000000000)/Constants!$C$12))/Constants!$C$17</f>
        <v>-5.1333103887547991E-2</v>
      </c>
      <c r="O8" s="26">
        <f>64*PI()*Constants!$C$8*Constants!$C$9*C8*(Constants!$C$17/(Constants!$C$11*Constants!$C$5))^2*K8*L8*EXP(-I8*(M8/1000000000))/Constants!$C$17</f>
        <v>8.9385681076025389E-3</v>
      </c>
      <c r="P8" s="27">
        <f>MAX(-(N8+O8),0)</f>
        <v>4.2394535779945453E-2</v>
      </c>
      <c r="Q8" s="5" t="s">
        <v>24</v>
      </c>
    </row>
    <row r="9" spans="1:17" x14ac:dyDescent="0.35">
      <c r="A9" s="15" t="s">
        <v>70</v>
      </c>
      <c r="B9" s="16">
        <v>0.1</v>
      </c>
      <c r="C9" s="17">
        <f t="shared" si="0"/>
        <v>4.9999999999999998E-8</v>
      </c>
      <c r="D9" s="18">
        <v>10</v>
      </c>
      <c r="E9" s="19">
        <f t="shared" si="1"/>
        <v>10</v>
      </c>
      <c r="F9" s="17">
        <f>Zeta_Hamaker!$B$15</f>
        <v>7.1699999999999994E-21</v>
      </c>
      <c r="G9" s="14" t="s">
        <v>91</v>
      </c>
      <c r="H9" s="14" t="s">
        <v>91</v>
      </c>
      <c r="I9" s="14"/>
      <c r="J9" s="14"/>
      <c r="K9" s="14"/>
      <c r="L9" s="14"/>
      <c r="M9" s="14"/>
      <c r="N9" s="14"/>
      <c r="O9" s="14"/>
      <c r="P9" s="14"/>
      <c r="Q9" s="15" t="s">
        <v>24</v>
      </c>
    </row>
    <row r="10" spans="1:17" x14ac:dyDescent="0.35">
      <c r="A10" s="5" t="s">
        <v>70</v>
      </c>
      <c r="B10" s="20">
        <v>0.1</v>
      </c>
      <c r="C10" s="21">
        <f t="shared" si="0"/>
        <v>4.9999999999999998E-8</v>
      </c>
      <c r="D10" s="22">
        <v>20</v>
      </c>
      <c r="E10" s="23">
        <f t="shared" si="1"/>
        <v>20</v>
      </c>
      <c r="F10" s="21">
        <f>Zeta_Hamaker!$B$15</f>
        <v>7.1699999999999994E-21</v>
      </c>
      <c r="G10" s="24">
        <f>Zeta_Hamaker!$B$9</f>
        <v>-0.05</v>
      </c>
      <c r="H10" s="24">
        <f>Zeta_Hamaker!$C$9</f>
        <v>-5.0999999999999997E-2</v>
      </c>
      <c r="I10" s="21">
        <f>SQRT(2*Constants!$C$10*Constants!$C$5^2*E10/(Constants!$C$8*Constants!$C$9*Constants!$C$17))</f>
        <v>464268596.26112574</v>
      </c>
      <c r="J10" s="25">
        <f>1/I10*1000000000</f>
        <v>2.1539255682018057</v>
      </c>
      <c r="K10" s="26">
        <f>TANH(Constants!$C$11*Constants!$C$5*G10/(4*Constants!$C$17))</f>
        <v>-0.45782444461912492</v>
      </c>
      <c r="L10" s="26">
        <f>TANH(Constants!$C$11*Constants!$C$5*H10/(4*Constants!$C$17))</f>
        <v>-0.46560684773581046</v>
      </c>
      <c r="M10" s="20">
        <v>18.5030643294904</v>
      </c>
      <c r="N10" s="26">
        <f>(-(F10*C10/(6*M10/1000000000))/(1+14*(M10/1000000000)/Constants!$C$12))/Constants!$C$17</f>
        <v>-0.22212132861348996</v>
      </c>
      <c r="O10" s="26">
        <f>64*PI()*Constants!$C$8*Constants!$C$9*C10*(Constants!$C$17/(Constants!$C$11*Constants!$C$5))^2*K10*L10*EXP(-I10*(M10/1000000000))/Constants!$C$17</f>
        <v>4.4516457694281773E-2</v>
      </c>
      <c r="P10" s="27">
        <f>MAX(-(N10+O10),0)</f>
        <v>0.17760487091920818</v>
      </c>
      <c r="Q10" s="5" t="s">
        <v>92</v>
      </c>
    </row>
    <row r="11" spans="1:17" x14ac:dyDescent="0.35">
      <c r="A11" s="5" t="s">
        <v>70</v>
      </c>
      <c r="B11" s="20">
        <v>0.1</v>
      </c>
      <c r="C11" s="21">
        <f t="shared" si="0"/>
        <v>4.9999999999999998E-8</v>
      </c>
      <c r="D11" s="22">
        <v>50</v>
      </c>
      <c r="E11" s="23">
        <f t="shared" si="1"/>
        <v>50</v>
      </c>
      <c r="F11" s="21">
        <f>Zeta_Hamaker!$B$15</f>
        <v>7.1699999999999994E-21</v>
      </c>
      <c r="G11" s="24">
        <f>Zeta_Hamaker!$B$10</f>
        <v>-0.04</v>
      </c>
      <c r="H11" s="24">
        <f>Zeta_Hamaker!$C$10</f>
        <v>-3.7999999999999999E-2</v>
      </c>
      <c r="I11" s="21">
        <f>SQRT(2*Constants!$C$10*Constants!$C$5^2*E11/(Constants!$C$8*Constants!$C$9*Constants!$C$17))</f>
        <v>734073105.1371454</v>
      </c>
      <c r="J11" s="25">
        <f>1/I11*1000000000</f>
        <v>1.3622621411980105</v>
      </c>
      <c r="K11" s="26">
        <f>TANH(Constants!$C$11*Constants!$C$5*G11/(4*Constants!$C$17))</f>
        <v>-0.37621586596105322</v>
      </c>
      <c r="L11" s="26">
        <f>TANH(Constants!$C$11*Constants!$C$5*H11/(4*Constants!$C$17))</f>
        <v>-0.35910850739632705</v>
      </c>
      <c r="M11" s="20">
        <v>9.3850769296704293</v>
      </c>
      <c r="N11" s="26">
        <f>(-(F11*C11/(6*M11/1000000000))/(1+14*(M11/1000000000)/Constants!$C$12))/Constants!$C$17</f>
        <v>-0.67950995032915507</v>
      </c>
      <c r="O11" s="26">
        <f>64*PI()*Constants!$C$8*Constants!$C$9*C11*(Constants!$C$17/(Constants!$C$11*Constants!$C$5))^2*K11*L11*EXP(-I11*(M11/1000000000))/Constants!$C$17</f>
        <v>0.15460575679880659</v>
      </c>
      <c r="P11" s="27">
        <f>MAX(-(N11+O11),0)</f>
        <v>0.52490419353034845</v>
      </c>
      <c r="Q11" s="5" t="s">
        <v>92</v>
      </c>
    </row>
    <row r="12" spans="1:17" x14ac:dyDescent="0.35">
      <c r="A12" s="15" t="s">
        <v>70</v>
      </c>
      <c r="B12" s="16">
        <v>0.2</v>
      </c>
      <c r="C12" s="17">
        <f t="shared" si="0"/>
        <v>9.9999999999999995E-8</v>
      </c>
      <c r="D12" s="18">
        <v>1</v>
      </c>
      <c r="E12" s="19">
        <f t="shared" si="1"/>
        <v>1</v>
      </c>
      <c r="F12" s="17">
        <f>Zeta_Hamaker!$B$15</f>
        <v>7.1699999999999994E-21</v>
      </c>
      <c r="G12" s="14" t="s">
        <v>91</v>
      </c>
      <c r="H12" s="14" t="s">
        <v>91</v>
      </c>
      <c r="I12" s="14"/>
      <c r="J12" s="14"/>
      <c r="K12" s="14"/>
      <c r="L12" s="14"/>
      <c r="M12" s="14"/>
      <c r="N12" s="14"/>
      <c r="O12" s="14"/>
      <c r="P12" s="14"/>
      <c r="Q12" s="15" t="s">
        <v>24</v>
      </c>
    </row>
    <row r="13" spans="1:17" x14ac:dyDescent="0.35">
      <c r="A13" s="15" t="s">
        <v>70</v>
      </c>
      <c r="B13" s="16">
        <v>0.2</v>
      </c>
      <c r="C13" s="17">
        <f t="shared" si="0"/>
        <v>9.9999999999999995E-8</v>
      </c>
      <c r="D13" s="18">
        <v>3</v>
      </c>
      <c r="E13" s="19">
        <f t="shared" si="1"/>
        <v>3</v>
      </c>
      <c r="F13" s="17">
        <f>Zeta_Hamaker!$B$15</f>
        <v>7.1699999999999994E-21</v>
      </c>
      <c r="G13" s="14" t="s">
        <v>91</v>
      </c>
      <c r="H13" s="14" t="s">
        <v>91</v>
      </c>
      <c r="I13" s="14"/>
      <c r="J13" s="14"/>
      <c r="K13" s="14"/>
      <c r="L13" s="14"/>
      <c r="M13" s="14"/>
      <c r="N13" s="14"/>
      <c r="O13" s="14"/>
      <c r="P13" s="14"/>
      <c r="Q13" s="15" t="s">
        <v>24</v>
      </c>
    </row>
    <row r="14" spans="1:17" x14ac:dyDescent="0.35">
      <c r="A14" s="5" t="s">
        <v>70</v>
      </c>
      <c r="B14" s="20">
        <v>0.2</v>
      </c>
      <c r="C14" s="21">
        <f t="shared" si="0"/>
        <v>9.9999999999999995E-8</v>
      </c>
      <c r="D14" s="22">
        <v>6</v>
      </c>
      <c r="E14" s="23">
        <f t="shared" si="1"/>
        <v>6</v>
      </c>
      <c r="F14" s="21">
        <f>Zeta_Hamaker!$B$15</f>
        <v>7.1699999999999994E-21</v>
      </c>
      <c r="G14" s="24">
        <f>Zeta_Hamaker!$B$7</f>
        <v>-6.4000000000000001E-2</v>
      </c>
      <c r="H14" s="24">
        <f>Zeta_Hamaker!$C$7</f>
        <v>-7.0000000000000007E-2</v>
      </c>
      <c r="I14" s="21">
        <f>SQRT(2*Constants!$C$10*Constants!$C$5^2*E14/(Constants!$C$8*Constants!$C$9*Constants!$C$17))</f>
        <v>254290382.91347721</v>
      </c>
      <c r="J14" s="25">
        <f>1/I14*1000000000</f>
        <v>3.9325120696375371</v>
      </c>
      <c r="K14" s="26">
        <f>TANH(Constants!$C$11*Constants!$C$5*G14/(4*Constants!$C$17))</f>
        <v>-0.5601356355893784</v>
      </c>
      <c r="L14" s="26">
        <f>TANH(Constants!$C$11*Constants!$C$5*H14/(4*Constants!$C$17))</f>
        <v>-0.59950714590437115</v>
      </c>
      <c r="M14" s="20">
        <v>41.882569750996502</v>
      </c>
      <c r="N14" s="26">
        <f>(-(F14*C14/(6*M14/1000000000))/(1+14*(M14/1000000000)/Constants!$C$12))/Constants!$C$17</f>
        <v>-0.10266620777509598</v>
      </c>
      <c r="O14" s="26">
        <f>64*PI()*Constants!$C$8*Constants!$C$9*C14*(Constants!$C$17/(Constants!$C$11*Constants!$C$5))^2*K14*L14*EXP(-I14*(M14/1000000000))/Constants!$C$17</f>
        <v>1.7877136215205078E-2</v>
      </c>
      <c r="P14" s="27">
        <f>MAX(-(N14+O14),0)</f>
        <v>8.4789071559890905E-2</v>
      </c>
      <c r="Q14" s="5" t="s">
        <v>24</v>
      </c>
    </row>
    <row r="15" spans="1:17" x14ac:dyDescent="0.35">
      <c r="A15" s="15" t="s">
        <v>70</v>
      </c>
      <c r="B15" s="16">
        <v>0.2</v>
      </c>
      <c r="C15" s="17">
        <f t="shared" si="0"/>
        <v>9.9999999999999995E-8</v>
      </c>
      <c r="D15" s="18">
        <v>10</v>
      </c>
      <c r="E15" s="19">
        <f t="shared" si="1"/>
        <v>10</v>
      </c>
      <c r="F15" s="17">
        <f>Zeta_Hamaker!$B$15</f>
        <v>7.1699999999999994E-21</v>
      </c>
      <c r="G15" s="14" t="s">
        <v>91</v>
      </c>
      <c r="H15" s="14" t="s">
        <v>91</v>
      </c>
      <c r="I15" s="14"/>
      <c r="J15" s="14"/>
      <c r="K15" s="14"/>
      <c r="L15" s="14"/>
      <c r="M15" s="14"/>
      <c r="N15" s="14"/>
      <c r="O15" s="14"/>
      <c r="P15" s="14"/>
      <c r="Q15" s="15" t="s">
        <v>24</v>
      </c>
    </row>
    <row r="16" spans="1:17" x14ac:dyDescent="0.35">
      <c r="A16" s="5" t="s">
        <v>70</v>
      </c>
      <c r="B16" s="20">
        <v>0.2</v>
      </c>
      <c r="C16" s="21">
        <f t="shared" si="0"/>
        <v>9.9999999999999995E-8</v>
      </c>
      <c r="D16" s="22">
        <v>20</v>
      </c>
      <c r="E16" s="23">
        <f t="shared" si="1"/>
        <v>20</v>
      </c>
      <c r="F16" s="21">
        <f>Zeta_Hamaker!$B$15</f>
        <v>7.1699999999999994E-21</v>
      </c>
      <c r="G16" s="24">
        <f>Zeta_Hamaker!$B$9</f>
        <v>-0.05</v>
      </c>
      <c r="H16" s="24">
        <f>Zeta_Hamaker!$C$9</f>
        <v>-5.0999999999999997E-2</v>
      </c>
      <c r="I16" s="21">
        <f>SQRT(2*Constants!$C$10*Constants!$C$5^2*E16/(Constants!$C$8*Constants!$C$9*Constants!$C$17))</f>
        <v>464268596.26112574</v>
      </c>
      <c r="J16" s="25">
        <f>1/I16*1000000000</f>
        <v>2.1539255682018057</v>
      </c>
      <c r="K16" s="26">
        <f>TANH(Constants!$C$11*Constants!$C$5*G16/(4*Constants!$C$17))</f>
        <v>-0.45782444461912492</v>
      </c>
      <c r="L16" s="26">
        <f>TANH(Constants!$C$11*Constants!$C$5*H16/(4*Constants!$C$17))</f>
        <v>-0.46560684773581046</v>
      </c>
      <c r="M16" s="20">
        <v>18.5030643294904</v>
      </c>
      <c r="N16" s="26">
        <f>(-(F16*C16/(6*M16/1000000000))/(1+14*(M16/1000000000)/Constants!$C$12))/Constants!$C$17</f>
        <v>-0.44424265722697992</v>
      </c>
      <c r="O16" s="26">
        <f>64*PI()*Constants!$C$8*Constants!$C$9*C16*(Constants!$C$17/(Constants!$C$11*Constants!$C$5))^2*K16*L16*EXP(-I16*(M16/1000000000))/Constants!$C$17</f>
        <v>8.9032915388563547E-2</v>
      </c>
      <c r="P16" s="27">
        <f>MAX(-(N16+O16),0)</f>
        <v>0.35520974183841636</v>
      </c>
      <c r="Q16" s="5" t="s">
        <v>92</v>
      </c>
    </row>
    <row r="17" spans="1:17" x14ac:dyDescent="0.35">
      <c r="A17" s="5" t="s">
        <v>70</v>
      </c>
      <c r="B17" s="20">
        <v>0.2</v>
      </c>
      <c r="C17" s="21">
        <f t="shared" si="0"/>
        <v>9.9999999999999995E-8</v>
      </c>
      <c r="D17" s="22">
        <v>50</v>
      </c>
      <c r="E17" s="23">
        <f t="shared" si="1"/>
        <v>50</v>
      </c>
      <c r="F17" s="21">
        <f>Zeta_Hamaker!$B$15</f>
        <v>7.1699999999999994E-21</v>
      </c>
      <c r="G17" s="24">
        <f>Zeta_Hamaker!$B$10</f>
        <v>-0.04</v>
      </c>
      <c r="H17" s="24">
        <f>Zeta_Hamaker!$C$10</f>
        <v>-3.7999999999999999E-2</v>
      </c>
      <c r="I17" s="21">
        <f>SQRT(2*Constants!$C$10*Constants!$C$5^2*E17/(Constants!$C$8*Constants!$C$9*Constants!$C$17))</f>
        <v>734073105.1371454</v>
      </c>
      <c r="J17" s="25">
        <f>1/I17*1000000000</f>
        <v>1.3622621411980105</v>
      </c>
      <c r="K17" s="26">
        <f>TANH(Constants!$C$11*Constants!$C$5*G17/(4*Constants!$C$17))</f>
        <v>-0.37621586596105322</v>
      </c>
      <c r="L17" s="26">
        <f>TANH(Constants!$C$11*Constants!$C$5*H17/(4*Constants!$C$17))</f>
        <v>-0.35910850739632705</v>
      </c>
      <c r="M17" s="20">
        <v>9.3850769296704293</v>
      </c>
      <c r="N17" s="26">
        <f>(-(F17*C17/(6*M17/1000000000))/(1+14*(M17/1000000000)/Constants!$C$12))/Constants!$C$17</f>
        <v>-1.3590199006583101</v>
      </c>
      <c r="O17" s="26">
        <f>64*PI()*Constants!$C$8*Constants!$C$9*C17*(Constants!$C$17/(Constants!$C$11*Constants!$C$5))^2*K17*L17*EXP(-I17*(M17/1000000000))/Constants!$C$17</f>
        <v>0.30921151359761317</v>
      </c>
      <c r="P17" s="27">
        <f>MAX(-(N17+O17),0)</f>
        <v>1.0498083870606969</v>
      </c>
      <c r="Q17" s="5" t="s">
        <v>92</v>
      </c>
    </row>
    <row r="18" spans="1:17" x14ac:dyDescent="0.35">
      <c r="A18" s="15" t="s">
        <v>70</v>
      </c>
      <c r="B18" s="16">
        <v>0.5</v>
      </c>
      <c r="C18" s="17">
        <f t="shared" si="0"/>
        <v>2.4999999999999999E-7</v>
      </c>
      <c r="D18" s="18">
        <v>1</v>
      </c>
      <c r="E18" s="19">
        <f t="shared" si="1"/>
        <v>1</v>
      </c>
      <c r="F18" s="17">
        <f>Zeta_Hamaker!$B$15</f>
        <v>7.1699999999999994E-21</v>
      </c>
      <c r="G18" s="14" t="s">
        <v>91</v>
      </c>
      <c r="H18" s="14" t="s">
        <v>91</v>
      </c>
      <c r="I18" s="14"/>
      <c r="J18" s="14"/>
      <c r="K18" s="14"/>
      <c r="L18" s="14"/>
      <c r="M18" s="14"/>
      <c r="N18" s="14"/>
      <c r="O18" s="14"/>
      <c r="P18" s="14"/>
      <c r="Q18" s="15" t="s">
        <v>24</v>
      </c>
    </row>
    <row r="19" spans="1:17" x14ac:dyDescent="0.35">
      <c r="A19" s="15" t="s">
        <v>70</v>
      </c>
      <c r="B19" s="16">
        <v>0.5</v>
      </c>
      <c r="C19" s="17">
        <f t="shared" si="0"/>
        <v>2.4999999999999999E-7</v>
      </c>
      <c r="D19" s="18">
        <v>3</v>
      </c>
      <c r="E19" s="19">
        <f t="shared" si="1"/>
        <v>3</v>
      </c>
      <c r="F19" s="17">
        <f>Zeta_Hamaker!$B$15</f>
        <v>7.1699999999999994E-21</v>
      </c>
      <c r="G19" s="14" t="s">
        <v>91</v>
      </c>
      <c r="H19" s="14" t="s">
        <v>91</v>
      </c>
      <c r="I19" s="14"/>
      <c r="J19" s="14"/>
      <c r="K19" s="14"/>
      <c r="L19" s="14"/>
      <c r="M19" s="14"/>
      <c r="N19" s="14"/>
      <c r="O19" s="14"/>
      <c r="P19" s="14"/>
      <c r="Q19" s="15" t="s">
        <v>24</v>
      </c>
    </row>
    <row r="20" spans="1:17" x14ac:dyDescent="0.35">
      <c r="A20" s="5" t="s">
        <v>70</v>
      </c>
      <c r="B20" s="20">
        <v>0.5</v>
      </c>
      <c r="C20" s="21">
        <f t="shared" si="0"/>
        <v>2.4999999999999999E-7</v>
      </c>
      <c r="D20" s="22">
        <v>6</v>
      </c>
      <c r="E20" s="23">
        <f t="shared" si="1"/>
        <v>6</v>
      </c>
      <c r="F20" s="21">
        <f>Zeta_Hamaker!$B$15</f>
        <v>7.1699999999999994E-21</v>
      </c>
      <c r="G20" s="24">
        <f>Zeta_Hamaker!$B$7</f>
        <v>-6.4000000000000001E-2</v>
      </c>
      <c r="H20" s="24">
        <f>Zeta_Hamaker!$C$7</f>
        <v>-7.0000000000000007E-2</v>
      </c>
      <c r="I20" s="21">
        <f>SQRT(2*Constants!$C$10*Constants!$C$5^2*E20/(Constants!$C$8*Constants!$C$9*Constants!$C$17))</f>
        <v>254290382.91347721</v>
      </c>
      <c r="J20" s="25">
        <f>1/I20*1000000000</f>
        <v>3.9325120696375371</v>
      </c>
      <c r="K20" s="26">
        <f>TANH(Constants!$C$11*Constants!$C$5*G20/(4*Constants!$C$17))</f>
        <v>-0.5601356355893784</v>
      </c>
      <c r="L20" s="26">
        <f>TANH(Constants!$C$11*Constants!$C$5*H20/(4*Constants!$C$17))</f>
        <v>-0.59950714590437115</v>
      </c>
      <c r="M20" s="20">
        <v>41.882569750996502</v>
      </c>
      <c r="N20" s="26">
        <f>(-(F20*C20/(6*M20/1000000000))/(1+14*(M20/1000000000)/Constants!$C$12))/Constants!$C$17</f>
        <v>-0.25666551943773996</v>
      </c>
      <c r="O20" s="26">
        <f>64*PI()*Constants!$C$8*Constants!$C$9*C20*(Constants!$C$17/(Constants!$C$11*Constants!$C$5))^2*K20*L20*EXP(-I20*(M20/1000000000))/Constants!$C$17</f>
        <v>4.4692840538012694E-2</v>
      </c>
      <c r="P20" s="27">
        <f>MAX(-(N20+O20),0)</f>
        <v>0.21197267889972726</v>
      </c>
      <c r="Q20" s="5" t="s">
        <v>24</v>
      </c>
    </row>
    <row r="21" spans="1:17" x14ac:dyDescent="0.35">
      <c r="A21" s="15" t="s">
        <v>70</v>
      </c>
      <c r="B21" s="16">
        <v>0.5</v>
      </c>
      <c r="C21" s="17">
        <f t="shared" si="0"/>
        <v>2.4999999999999999E-7</v>
      </c>
      <c r="D21" s="18">
        <v>10</v>
      </c>
      <c r="E21" s="19">
        <f t="shared" si="1"/>
        <v>10</v>
      </c>
      <c r="F21" s="17">
        <f>Zeta_Hamaker!$B$15</f>
        <v>7.1699999999999994E-21</v>
      </c>
      <c r="G21" s="14" t="s">
        <v>91</v>
      </c>
      <c r="H21" s="14" t="s">
        <v>91</v>
      </c>
      <c r="I21" s="14"/>
      <c r="J21" s="14"/>
      <c r="K21" s="14"/>
      <c r="L21" s="14"/>
      <c r="M21" s="14"/>
      <c r="N21" s="14"/>
      <c r="O21" s="14"/>
      <c r="P21" s="14"/>
      <c r="Q21" s="15" t="s">
        <v>24</v>
      </c>
    </row>
    <row r="22" spans="1:17" x14ac:dyDescent="0.35">
      <c r="A22" s="5" t="s">
        <v>70</v>
      </c>
      <c r="B22" s="20">
        <v>0.5</v>
      </c>
      <c r="C22" s="21">
        <f t="shared" si="0"/>
        <v>2.4999999999999999E-7</v>
      </c>
      <c r="D22" s="22">
        <v>20</v>
      </c>
      <c r="E22" s="23">
        <f t="shared" si="1"/>
        <v>20</v>
      </c>
      <c r="F22" s="21">
        <f>Zeta_Hamaker!$B$15</f>
        <v>7.1699999999999994E-21</v>
      </c>
      <c r="G22" s="24">
        <f>Zeta_Hamaker!$B$9</f>
        <v>-0.05</v>
      </c>
      <c r="H22" s="24">
        <f>Zeta_Hamaker!$C$9</f>
        <v>-5.0999999999999997E-2</v>
      </c>
      <c r="I22" s="21">
        <f>SQRT(2*Constants!$C$10*Constants!$C$5^2*E22/(Constants!$C$8*Constants!$C$9*Constants!$C$17))</f>
        <v>464268596.26112574</v>
      </c>
      <c r="J22" s="25">
        <f>1/I22*1000000000</f>
        <v>2.1539255682018057</v>
      </c>
      <c r="K22" s="26">
        <f>TANH(Constants!$C$11*Constants!$C$5*G22/(4*Constants!$C$17))</f>
        <v>-0.45782444461912492</v>
      </c>
      <c r="L22" s="26">
        <f>TANH(Constants!$C$11*Constants!$C$5*H22/(4*Constants!$C$17))</f>
        <v>-0.46560684773581046</v>
      </c>
      <c r="M22" s="20">
        <v>18.5030643294904</v>
      </c>
      <c r="N22" s="26">
        <f>(-(F22*C22/(6*M22/1000000000))/(1+14*(M22/1000000000)/Constants!$C$12))/Constants!$C$17</f>
        <v>-1.1106066430674497</v>
      </c>
      <c r="O22" s="26">
        <f>64*PI()*Constants!$C$8*Constants!$C$9*C22*(Constants!$C$17/(Constants!$C$11*Constants!$C$5))^2*K22*L22*EXP(-I22*(M22/1000000000))/Constants!$C$17</f>
        <v>0.2225822884714089</v>
      </c>
      <c r="P22" s="27">
        <f>MAX(-(N22+O22),0)</f>
        <v>0.88802435459604079</v>
      </c>
      <c r="Q22" s="5" t="s">
        <v>92</v>
      </c>
    </row>
    <row r="23" spans="1:17" x14ac:dyDescent="0.35">
      <c r="A23" s="5" t="s">
        <v>70</v>
      </c>
      <c r="B23" s="20">
        <v>0.5</v>
      </c>
      <c r="C23" s="21">
        <f t="shared" si="0"/>
        <v>2.4999999999999999E-7</v>
      </c>
      <c r="D23" s="22">
        <v>50</v>
      </c>
      <c r="E23" s="23">
        <f t="shared" si="1"/>
        <v>50</v>
      </c>
      <c r="F23" s="21">
        <f>Zeta_Hamaker!$B$15</f>
        <v>7.1699999999999994E-21</v>
      </c>
      <c r="G23" s="24">
        <f>Zeta_Hamaker!$B$10</f>
        <v>-0.04</v>
      </c>
      <c r="H23" s="24">
        <f>Zeta_Hamaker!$C$10</f>
        <v>-3.7999999999999999E-2</v>
      </c>
      <c r="I23" s="21">
        <f>SQRT(2*Constants!$C$10*Constants!$C$5^2*E23/(Constants!$C$8*Constants!$C$9*Constants!$C$17))</f>
        <v>734073105.1371454</v>
      </c>
      <c r="J23" s="25">
        <f>1/I23*1000000000</f>
        <v>1.3622621411980105</v>
      </c>
      <c r="K23" s="26">
        <f>TANH(Constants!$C$11*Constants!$C$5*G23/(4*Constants!$C$17))</f>
        <v>-0.37621586596105322</v>
      </c>
      <c r="L23" s="26">
        <f>TANH(Constants!$C$11*Constants!$C$5*H23/(4*Constants!$C$17))</f>
        <v>-0.35910850739632705</v>
      </c>
      <c r="M23" s="20">
        <v>9.3850769296704293</v>
      </c>
      <c r="N23" s="26">
        <f>(-(F23*C23/(6*M23/1000000000))/(1+14*(M23/1000000000)/Constants!$C$12))/Constants!$C$17</f>
        <v>-3.397549751645776</v>
      </c>
      <c r="O23" s="26">
        <f>64*PI()*Constants!$C$8*Constants!$C$9*C23*(Constants!$C$17/(Constants!$C$11*Constants!$C$5))^2*K23*L23*EXP(-I23*(M23/1000000000))/Constants!$C$17</f>
        <v>0.77302878399403285</v>
      </c>
      <c r="P23" s="27">
        <f>MAX(-(N23+O23),0)</f>
        <v>2.6245209676517431</v>
      </c>
      <c r="Q23" s="5" t="s">
        <v>92</v>
      </c>
    </row>
    <row r="24" spans="1:17" x14ac:dyDescent="0.35">
      <c r="A24" s="15" t="s">
        <v>70</v>
      </c>
      <c r="B24" s="16">
        <v>0.98</v>
      </c>
      <c r="C24" s="17">
        <f t="shared" si="0"/>
        <v>4.8999999999999997E-7</v>
      </c>
      <c r="D24" s="18">
        <v>1</v>
      </c>
      <c r="E24" s="19">
        <f t="shared" si="1"/>
        <v>1</v>
      </c>
      <c r="F24" s="17">
        <f>Zeta_Hamaker!$B$15</f>
        <v>7.1699999999999994E-21</v>
      </c>
      <c r="G24" s="14" t="s">
        <v>91</v>
      </c>
      <c r="H24" s="14" t="s">
        <v>91</v>
      </c>
      <c r="I24" s="14"/>
      <c r="J24" s="14"/>
      <c r="K24" s="14"/>
      <c r="L24" s="14"/>
      <c r="M24" s="14"/>
      <c r="N24" s="14"/>
      <c r="O24" s="14"/>
      <c r="P24" s="14"/>
      <c r="Q24" s="15" t="s">
        <v>24</v>
      </c>
    </row>
    <row r="25" spans="1:17" x14ac:dyDescent="0.35">
      <c r="A25" s="15" t="s">
        <v>70</v>
      </c>
      <c r="B25" s="16">
        <v>0.98</v>
      </c>
      <c r="C25" s="17">
        <f t="shared" si="0"/>
        <v>4.8999999999999997E-7</v>
      </c>
      <c r="D25" s="18">
        <v>3</v>
      </c>
      <c r="E25" s="19">
        <f t="shared" si="1"/>
        <v>3</v>
      </c>
      <c r="F25" s="17">
        <f>Zeta_Hamaker!$B$15</f>
        <v>7.1699999999999994E-21</v>
      </c>
      <c r="G25" s="14" t="s">
        <v>91</v>
      </c>
      <c r="H25" s="14" t="s">
        <v>91</v>
      </c>
      <c r="I25" s="14"/>
      <c r="J25" s="14"/>
      <c r="K25" s="14"/>
      <c r="L25" s="14"/>
      <c r="M25" s="14"/>
      <c r="N25" s="14"/>
      <c r="O25" s="14"/>
      <c r="P25" s="14"/>
      <c r="Q25" s="15" t="s">
        <v>24</v>
      </c>
    </row>
    <row r="26" spans="1:17" x14ac:dyDescent="0.35">
      <c r="A26" s="5" t="s">
        <v>70</v>
      </c>
      <c r="B26" s="20">
        <v>0.98</v>
      </c>
      <c r="C26" s="21">
        <f t="shared" si="0"/>
        <v>4.8999999999999997E-7</v>
      </c>
      <c r="D26" s="22">
        <v>6</v>
      </c>
      <c r="E26" s="23">
        <f t="shared" si="1"/>
        <v>6</v>
      </c>
      <c r="F26" s="21">
        <f>Zeta_Hamaker!$B$15</f>
        <v>7.1699999999999994E-21</v>
      </c>
      <c r="G26" s="24">
        <f>Zeta_Hamaker!$B$7</f>
        <v>-6.4000000000000001E-2</v>
      </c>
      <c r="H26" s="24">
        <f>Zeta_Hamaker!$C$7</f>
        <v>-7.0000000000000007E-2</v>
      </c>
      <c r="I26" s="21">
        <f>SQRT(2*Constants!$C$10*Constants!$C$5^2*E26/(Constants!$C$8*Constants!$C$9*Constants!$C$17))</f>
        <v>254290382.91347721</v>
      </c>
      <c r="J26" s="25">
        <f>1/I26*1000000000</f>
        <v>3.9325120696375371</v>
      </c>
      <c r="K26" s="26">
        <f>TANH(Constants!$C$11*Constants!$C$5*G26/(4*Constants!$C$17))</f>
        <v>-0.5601356355893784</v>
      </c>
      <c r="L26" s="26">
        <f>TANH(Constants!$C$11*Constants!$C$5*H26/(4*Constants!$C$17))</f>
        <v>-0.59950714590437115</v>
      </c>
      <c r="M26" s="20">
        <v>41.882569750996502</v>
      </c>
      <c r="N26" s="26">
        <f>(-(F26*C26/(6*M26/1000000000))/(1+14*(M26/1000000000)/Constants!$C$12))/Constants!$C$17</f>
        <v>-0.50306441809797031</v>
      </c>
      <c r="O26" s="26">
        <f>64*PI()*Constants!$C$8*Constants!$C$9*C26*(Constants!$C$17/(Constants!$C$11*Constants!$C$5))^2*K26*L26*EXP(-I26*(M26/1000000000))/Constants!$C$17</f>
        <v>8.7597967454504863E-2</v>
      </c>
      <c r="P26" s="27">
        <f>MAX(-(N26+O26),0)</f>
        <v>0.41546645064346543</v>
      </c>
      <c r="Q26" s="5" t="s">
        <v>24</v>
      </c>
    </row>
    <row r="27" spans="1:17" x14ac:dyDescent="0.35">
      <c r="A27" s="15" t="s">
        <v>70</v>
      </c>
      <c r="B27" s="16">
        <v>0.98</v>
      </c>
      <c r="C27" s="17">
        <f t="shared" si="0"/>
        <v>4.8999999999999997E-7</v>
      </c>
      <c r="D27" s="18">
        <v>10</v>
      </c>
      <c r="E27" s="19">
        <f t="shared" si="1"/>
        <v>10</v>
      </c>
      <c r="F27" s="17">
        <f>Zeta_Hamaker!$B$15</f>
        <v>7.1699999999999994E-21</v>
      </c>
      <c r="G27" s="14" t="s">
        <v>91</v>
      </c>
      <c r="H27" s="14" t="s">
        <v>91</v>
      </c>
      <c r="I27" s="14"/>
      <c r="J27" s="14"/>
      <c r="K27" s="14"/>
      <c r="L27" s="14"/>
      <c r="M27" s="14"/>
      <c r="N27" s="14"/>
      <c r="O27" s="14"/>
      <c r="P27" s="14"/>
      <c r="Q27" s="15" t="s">
        <v>92</v>
      </c>
    </row>
    <row r="28" spans="1:17" x14ac:dyDescent="0.35">
      <c r="A28" s="5" t="s">
        <v>70</v>
      </c>
      <c r="B28" s="20">
        <v>0.98</v>
      </c>
      <c r="C28" s="21">
        <f t="shared" si="0"/>
        <v>4.8999999999999997E-7</v>
      </c>
      <c r="D28" s="22">
        <v>20</v>
      </c>
      <c r="E28" s="23">
        <f t="shared" si="1"/>
        <v>20</v>
      </c>
      <c r="F28" s="21">
        <f>Zeta_Hamaker!$B$15</f>
        <v>7.1699999999999994E-21</v>
      </c>
      <c r="G28" s="24">
        <f>Zeta_Hamaker!$B$9</f>
        <v>-0.05</v>
      </c>
      <c r="H28" s="24">
        <f>Zeta_Hamaker!$C$9</f>
        <v>-5.0999999999999997E-2</v>
      </c>
      <c r="I28" s="21">
        <f>SQRT(2*Constants!$C$10*Constants!$C$5^2*E28/(Constants!$C$8*Constants!$C$9*Constants!$C$17))</f>
        <v>464268596.26112574</v>
      </c>
      <c r="J28" s="25">
        <f>1/I28*1000000000</f>
        <v>2.1539255682018057</v>
      </c>
      <c r="K28" s="26">
        <f>TANH(Constants!$C$11*Constants!$C$5*G28/(4*Constants!$C$17))</f>
        <v>-0.45782444461912492</v>
      </c>
      <c r="L28" s="26">
        <f>TANH(Constants!$C$11*Constants!$C$5*H28/(4*Constants!$C$17))</f>
        <v>-0.46560684773581046</v>
      </c>
      <c r="M28" s="20">
        <v>18.5030643294904</v>
      </c>
      <c r="N28" s="26">
        <f>(-(F28*C28/(6*M28/1000000000))/(1+14*(M28/1000000000)/Constants!$C$12))/Constants!$C$17</f>
        <v>-2.176789020412202</v>
      </c>
      <c r="O28" s="26">
        <f>64*PI()*Constants!$C$8*Constants!$C$9*C28*(Constants!$C$17/(Constants!$C$11*Constants!$C$5))^2*K28*L28*EXP(-I28*(M28/1000000000))/Constants!$C$17</f>
        <v>0.43626128540396136</v>
      </c>
      <c r="P28" s="27">
        <f>MAX(-(N28+O28),0)</f>
        <v>1.7405277350082407</v>
      </c>
      <c r="Q28" s="5" t="s">
        <v>24</v>
      </c>
    </row>
    <row r="29" spans="1:17" x14ac:dyDescent="0.35">
      <c r="A29" s="5" t="s">
        <v>70</v>
      </c>
      <c r="B29" s="20">
        <v>0.98</v>
      </c>
      <c r="C29" s="21">
        <f t="shared" si="0"/>
        <v>4.8999999999999997E-7</v>
      </c>
      <c r="D29" s="22">
        <v>50</v>
      </c>
      <c r="E29" s="23">
        <f t="shared" si="1"/>
        <v>50</v>
      </c>
      <c r="F29" s="21">
        <f>Zeta_Hamaker!$B$15</f>
        <v>7.1699999999999994E-21</v>
      </c>
      <c r="G29" s="24">
        <f>Zeta_Hamaker!$B$10</f>
        <v>-0.04</v>
      </c>
      <c r="H29" s="24">
        <f>Zeta_Hamaker!$C$10</f>
        <v>-3.7999999999999999E-2</v>
      </c>
      <c r="I29" s="21">
        <f>SQRT(2*Constants!$C$10*Constants!$C$5^2*E29/(Constants!$C$8*Constants!$C$9*Constants!$C$17))</f>
        <v>734073105.1371454</v>
      </c>
      <c r="J29" s="25">
        <f>1/I29*1000000000</f>
        <v>1.3622621411980105</v>
      </c>
      <c r="K29" s="26">
        <f>TANH(Constants!$C$11*Constants!$C$5*G29/(4*Constants!$C$17))</f>
        <v>-0.37621586596105322</v>
      </c>
      <c r="L29" s="26">
        <f>TANH(Constants!$C$11*Constants!$C$5*H29/(4*Constants!$C$17))</f>
        <v>-0.35910850739632705</v>
      </c>
      <c r="M29" s="20">
        <v>9.3850769296704293</v>
      </c>
      <c r="N29" s="26">
        <f>(-(F29*C29/(6*M29/1000000000))/(1+14*(M29/1000000000)/Constants!$C$12))/Constants!$C$17</f>
        <v>-6.6591975132257213</v>
      </c>
      <c r="O29" s="26">
        <f>64*PI()*Constants!$C$8*Constants!$C$9*C29*(Constants!$C$17/(Constants!$C$11*Constants!$C$5))^2*K29*L29*EXP(-I29*(M29/1000000000))/Constants!$C$17</f>
        <v>1.5151364166283046</v>
      </c>
      <c r="P29" s="27">
        <f>MAX(-(N29+O29),0)</f>
        <v>5.1440610965974169</v>
      </c>
      <c r="Q29" s="5" t="s">
        <v>24</v>
      </c>
    </row>
    <row r="30" spans="1:17" x14ac:dyDescent="0.35">
      <c r="A30" s="15" t="s">
        <v>70</v>
      </c>
      <c r="B30" s="16">
        <v>1</v>
      </c>
      <c r="C30" s="17">
        <f t="shared" si="0"/>
        <v>4.9999999999999998E-7</v>
      </c>
      <c r="D30" s="18">
        <v>1</v>
      </c>
      <c r="E30" s="19">
        <f t="shared" si="1"/>
        <v>1</v>
      </c>
      <c r="F30" s="17">
        <f>Zeta_Hamaker!$B$15</f>
        <v>7.1699999999999994E-21</v>
      </c>
      <c r="G30" s="14" t="s">
        <v>91</v>
      </c>
      <c r="H30" s="14" t="s">
        <v>91</v>
      </c>
      <c r="I30" s="14"/>
      <c r="J30" s="14"/>
      <c r="K30" s="14"/>
      <c r="L30" s="14"/>
      <c r="M30" s="14"/>
      <c r="N30" s="14"/>
      <c r="O30" s="14"/>
      <c r="P30" s="14"/>
      <c r="Q30" s="15" t="s">
        <v>24</v>
      </c>
    </row>
    <row r="31" spans="1:17" x14ac:dyDescent="0.35">
      <c r="A31" s="15" t="s">
        <v>70</v>
      </c>
      <c r="B31" s="16">
        <v>1</v>
      </c>
      <c r="C31" s="17">
        <f t="shared" si="0"/>
        <v>4.9999999999999998E-7</v>
      </c>
      <c r="D31" s="18">
        <v>3</v>
      </c>
      <c r="E31" s="19">
        <f t="shared" si="1"/>
        <v>3</v>
      </c>
      <c r="F31" s="17">
        <f>Zeta_Hamaker!$B$15</f>
        <v>7.1699999999999994E-21</v>
      </c>
      <c r="G31" s="14" t="s">
        <v>91</v>
      </c>
      <c r="H31" s="14" t="s">
        <v>91</v>
      </c>
      <c r="I31" s="14"/>
      <c r="J31" s="14"/>
      <c r="K31" s="14"/>
      <c r="L31" s="14"/>
      <c r="M31" s="14"/>
      <c r="N31" s="14"/>
      <c r="O31" s="14"/>
      <c r="P31" s="14"/>
      <c r="Q31" s="15" t="s">
        <v>24</v>
      </c>
    </row>
    <row r="32" spans="1:17" x14ac:dyDescent="0.35">
      <c r="A32" s="5" t="s">
        <v>70</v>
      </c>
      <c r="B32" s="20">
        <v>1</v>
      </c>
      <c r="C32" s="21">
        <f t="shared" si="0"/>
        <v>4.9999999999999998E-7</v>
      </c>
      <c r="D32" s="22">
        <v>6</v>
      </c>
      <c r="E32" s="23">
        <f t="shared" si="1"/>
        <v>6</v>
      </c>
      <c r="F32" s="21">
        <f>Zeta_Hamaker!$B$15</f>
        <v>7.1699999999999994E-21</v>
      </c>
      <c r="G32" s="24">
        <f>Zeta_Hamaker!$B$7</f>
        <v>-6.4000000000000001E-2</v>
      </c>
      <c r="H32" s="24">
        <f>Zeta_Hamaker!$C$7</f>
        <v>-7.0000000000000007E-2</v>
      </c>
      <c r="I32" s="21">
        <f>SQRT(2*Constants!$C$10*Constants!$C$5^2*E32/(Constants!$C$8*Constants!$C$9*Constants!$C$17))</f>
        <v>254290382.91347721</v>
      </c>
      <c r="J32" s="25">
        <f>1/I32*1000000000</f>
        <v>3.9325120696375371</v>
      </c>
      <c r="K32" s="26">
        <f>TANH(Constants!$C$11*Constants!$C$5*G32/(4*Constants!$C$17))</f>
        <v>-0.5601356355893784</v>
      </c>
      <c r="L32" s="26">
        <f>TANH(Constants!$C$11*Constants!$C$5*H32/(4*Constants!$C$17))</f>
        <v>-0.59950714590437115</v>
      </c>
      <c r="M32" s="20">
        <v>41.882569750996502</v>
      </c>
      <c r="N32" s="26">
        <f>(-(F32*C32/(6*M32/1000000000))/(1+14*(M32/1000000000)/Constants!$C$12))/Constants!$C$17</f>
        <v>-0.51333103887547993</v>
      </c>
      <c r="O32" s="26">
        <f>64*PI()*Constants!$C$8*Constants!$C$9*C32*(Constants!$C$17/(Constants!$C$11*Constants!$C$5))^2*K32*L32*EXP(-I32*(M32/1000000000))/Constants!$C$17</f>
        <v>8.9385681076025389E-2</v>
      </c>
      <c r="P32" s="27">
        <f>MAX(-(N32+O32),0)</f>
        <v>0.42394535779945453</v>
      </c>
      <c r="Q32" s="5" t="s">
        <v>24</v>
      </c>
    </row>
    <row r="33" spans="1:17" x14ac:dyDescent="0.35">
      <c r="A33" s="15" t="s">
        <v>70</v>
      </c>
      <c r="B33" s="16">
        <v>1</v>
      </c>
      <c r="C33" s="17">
        <f t="shared" si="0"/>
        <v>4.9999999999999998E-7</v>
      </c>
      <c r="D33" s="18">
        <v>10</v>
      </c>
      <c r="E33" s="19">
        <f t="shared" si="1"/>
        <v>10</v>
      </c>
      <c r="F33" s="17">
        <f>Zeta_Hamaker!$B$15</f>
        <v>7.1699999999999994E-21</v>
      </c>
      <c r="G33" s="14" t="s">
        <v>91</v>
      </c>
      <c r="H33" s="14" t="s">
        <v>91</v>
      </c>
      <c r="I33" s="14"/>
      <c r="J33" s="14"/>
      <c r="K33" s="14"/>
      <c r="L33" s="14"/>
      <c r="M33" s="14"/>
      <c r="N33" s="14"/>
      <c r="O33" s="14"/>
      <c r="P33" s="14"/>
      <c r="Q33" s="15" t="s">
        <v>24</v>
      </c>
    </row>
    <row r="34" spans="1:17" x14ac:dyDescent="0.35">
      <c r="A34" s="5" t="s">
        <v>70</v>
      </c>
      <c r="B34" s="20">
        <v>1</v>
      </c>
      <c r="C34" s="21">
        <f t="shared" si="0"/>
        <v>4.9999999999999998E-7</v>
      </c>
      <c r="D34" s="22">
        <v>20</v>
      </c>
      <c r="E34" s="23">
        <f t="shared" si="1"/>
        <v>20</v>
      </c>
      <c r="F34" s="21">
        <f>Zeta_Hamaker!$B$15</f>
        <v>7.1699999999999994E-21</v>
      </c>
      <c r="G34" s="24">
        <f>Zeta_Hamaker!$B$9</f>
        <v>-0.05</v>
      </c>
      <c r="H34" s="24">
        <f>Zeta_Hamaker!$C$9</f>
        <v>-5.0999999999999997E-2</v>
      </c>
      <c r="I34" s="21">
        <f>SQRT(2*Constants!$C$10*Constants!$C$5^2*E34/(Constants!$C$8*Constants!$C$9*Constants!$C$17))</f>
        <v>464268596.26112574</v>
      </c>
      <c r="J34" s="25">
        <f>1/I34*1000000000</f>
        <v>2.1539255682018057</v>
      </c>
      <c r="K34" s="26">
        <f>TANH(Constants!$C$11*Constants!$C$5*G34/(4*Constants!$C$17))</f>
        <v>-0.45782444461912492</v>
      </c>
      <c r="L34" s="26">
        <f>TANH(Constants!$C$11*Constants!$C$5*H34/(4*Constants!$C$17))</f>
        <v>-0.46560684773581046</v>
      </c>
      <c r="M34" s="20">
        <v>18.5030643294904</v>
      </c>
      <c r="N34" s="26">
        <f>(-(F34*C34/(6*M34/1000000000))/(1+14*(M34/1000000000)/Constants!$C$12))/Constants!$C$17</f>
        <v>-2.2212132861348994</v>
      </c>
      <c r="O34" s="26">
        <f>64*PI()*Constants!$C$8*Constants!$C$9*C34*(Constants!$C$17/(Constants!$C$11*Constants!$C$5))^2*K34*L34*EXP(-I34*(M34/1000000000))/Constants!$C$17</f>
        <v>0.4451645769428178</v>
      </c>
      <c r="P34" s="27">
        <f>MAX(-(N34+O34),0)</f>
        <v>1.7760487091920816</v>
      </c>
      <c r="Q34" s="5" t="s">
        <v>92</v>
      </c>
    </row>
    <row r="35" spans="1:17" x14ac:dyDescent="0.35">
      <c r="A35" s="5" t="s">
        <v>70</v>
      </c>
      <c r="B35" s="20">
        <v>1</v>
      </c>
      <c r="C35" s="21">
        <f t="shared" si="0"/>
        <v>4.9999999999999998E-7</v>
      </c>
      <c r="D35" s="22">
        <v>50</v>
      </c>
      <c r="E35" s="23">
        <f t="shared" si="1"/>
        <v>50</v>
      </c>
      <c r="F35" s="21">
        <f>Zeta_Hamaker!$B$15</f>
        <v>7.1699999999999994E-21</v>
      </c>
      <c r="G35" s="24">
        <f>Zeta_Hamaker!$B$10</f>
        <v>-0.04</v>
      </c>
      <c r="H35" s="24">
        <f>Zeta_Hamaker!$C$10</f>
        <v>-3.7999999999999999E-2</v>
      </c>
      <c r="I35" s="21">
        <f>SQRT(2*Constants!$C$10*Constants!$C$5^2*E35/(Constants!$C$8*Constants!$C$9*Constants!$C$17))</f>
        <v>734073105.1371454</v>
      </c>
      <c r="J35" s="25">
        <f>1/I35*1000000000</f>
        <v>1.3622621411980105</v>
      </c>
      <c r="K35" s="26">
        <f>TANH(Constants!$C$11*Constants!$C$5*G35/(4*Constants!$C$17))</f>
        <v>-0.37621586596105322</v>
      </c>
      <c r="L35" s="26">
        <f>TANH(Constants!$C$11*Constants!$C$5*H35/(4*Constants!$C$17))</f>
        <v>-0.35910850739632705</v>
      </c>
      <c r="M35" s="20">
        <v>9.3850769296704293</v>
      </c>
      <c r="N35" s="26">
        <f>(-(F35*C35/(6*M35/1000000000))/(1+14*(M35/1000000000)/Constants!$C$12))/Constants!$C$17</f>
        <v>-6.795099503291552</v>
      </c>
      <c r="O35" s="26">
        <f>64*PI()*Constants!$C$8*Constants!$C$9*C35*(Constants!$C$17/(Constants!$C$11*Constants!$C$5))^2*K35*L35*EXP(-I35*(M35/1000000000))/Constants!$C$17</f>
        <v>1.5460575679880657</v>
      </c>
      <c r="P35" s="27">
        <f>MAX(-(N35+O35),0)</f>
        <v>5.2490419353034863</v>
      </c>
      <c r="Q35" s="5" t="s">
        <v>92</v>
      </c>
    </row>
    <row r="36" spans="1:17" x14ac:dyDescent="0.35">
      <c r="A36" s="15" t="s">
        <v>70</v>
      </c>
      <c r="B36" s="16">
        <v>1.1000000000000001</v>
      </c>
      <c r="C36" s="17">
        <f t="shared" si="0"/>
        <v>5.5000000000000003E-7</v>
      </c>
      <c r="D36" s="18">
        <v>1</v>
      </c>
      <c r="E36" s="19">
        <f t="shared" si="1"/>
        <v>1</v>
      </c>
      <c r="F36" s="17">
        <f>Zeta_Hamaker!$B$15</f>
        <v>7.1699999999999994E-21</v>
      </c>
      <c r="G36" s="14" t="s">
        <v>91</v>
      </c>
      <c r="H36" s="14" t="s">
        <v>91</v>
      </c>
      <c r="I36" s="14"/>
      <c r="J36" s="14"/>
      <c r="K36" s="14"/>
      <c r="L36" s="14"/>
      <c r="M36" s="14"/>
      <c r="N36" s="14"/>
      <c r="O36" s="14"/>
      <c r="P36" s="14"/>
      <c r="Q36" s="15" t="s">
        <v>24</v>
      </c>
    </row>
    <row r="37" spans="1:17" x14ac:dyDescent="0.35">
      <c r="A37" s="15" t="s">
        <v>70</v>
      </c>
      <c r="B37" s="16">
        <v>1.1000000000000001</v>
      </c>
      <c r="C37" s="17">
        <f t="shared" si="0"/>
        <v>5.5000000000000003E-7</v>
      </c>
      <c r="D37" s="18">
        <v>3</v>
      </c>
      <c r="E37" s="19">
        <f t="shared" si="1"/>
        <v>3</v>
      </c>
      <c r="F37" s="17">
        <f>Zeta_Hamaker!$B$15</f>
        <v>7.1699999999999994E-21</v>
      </c>
      <c r="G37" s="14" t="s">
        <v>91</v>
      </c>
      <c r="H37" s="14" t="s">
        <v>91</v>
      </c>
      <c r="I37" s="14"/>
      <c r="J37" s="14"/>
      <c r="K37" s="14"/>
      <c r="L37" s="14"/>
      <c r="M37" s="14"/>
      <c r="N37" s="14"/>
      <c r="O37" s="14"/>
      <c r="P37" s="14"/>
      <c r="Q37" s="15" t="s">
        <v>24</v>
      </c>
    </row>
    <row r="38" spans="1:17" x14ac:dyDescent="0.35">
      <c r="A38" s="5" t="s">
        <v>70</v>
      </c>
      <c r="B38" s="20">
        <v>1.1000000000000001</v>
      </c>
      <c r="C38" s="21">
        <f t="shared" ref="C38:C69" si="2">B38/2*0.000001</f>
        <v>5.5000000000000003E-7</v>
      </c>
      <c r="D38" s="22">
        <v>6</v>
      </c>
      <c r="E38" s="23">
        <f t="shared" ref="E38:E69" si="3">D38</f>
        <v>6</v>
      </c>
      <c r="F38" s="21">
        <f>Zeta_Hamaker!$B$15</f>
        <v>7.1699999999999994E-21</v>
      </c>
      <c r="G38" s="24">
        <f>Zeta_Hamaker!$B$7</f>
        <v>-6.4000000000000001E-2</v>
      </c>
      <c r="H38" s="24">
        <f>Zeta_Hamaker!$C$7</f>
        <v>-7.0000000000000007E-2</v>
      </c>
      <c r="I38" s="21">
        <f>SQRT(2*Constants!$C$10*Constants!$C$5^2*E38/(Constants!$C$8*Constants!$C$9*Constants!$C$17))</f>
        <v>254290382.91347721</v>
      </c>
      <c r="J38" s="25">
        <f>1/I38*1000000000</f>
        <v>3.9325120696375371</v>
      </c>
      <c r="K38" s="26">
        <f>TANH(Constants!$C$11*Constants!$C$5*G38/(4*Constants!$C$17))</f>
        <v>-0.5601356355893784</v>
      </c>
      <c r="L38" s="26">
        <f>TANH(Constants!$C$11*Constants!$C$5*H38/(4*Constants!$C$17))</f>
        <v>-0.59950714590437115</v>
      </c>
      <c r="M38" s="20">
        <v>41.882569750996502</v>
      </c>
      <c r="N38" s="26">
        <f>(-(F38*C38/(6*M38/1000000000))/(1+14*(M38/1000000000)/Constants!$C$12))/Constants!$C$17</f>
        <v>-0.5646641427630279</v>
      </c>
      <c r="O38" s="26">
        <f>64*PI()*Constants!$C$8*Constants!$C$9*C38*(Constants!$C$17/(Constants!$C$11*Constants!$C$5))^2*K38*L38*EXP(-I38*(M38/1000000000))/Constants!$C$17</f>
        <v>9.8324249183627935E-2</v>
      </c>
      <c r="P38" s="27">
        <f>MAX(-(N38+O38),0)</f>
        <v>0.46633989357939998</v>
      </c>
      <c r="Q38" s="5" t="s">
        <v>92</v>
      </c>
    </row>
    <row r="39" spans="1:17" x14ac:dyDescent="0.35">
      <c r="A39" s="15" t="s">
        <v>70</v>
      </c>
      <c r="B39" s="16">
        <v>1.1000000000000001</v>
      </c>
      <c r="C39" s="17">
        <f t="shared" si="2"/>
        <v>5.5000000000000003E-7</v>
      </c>
      <c r="D39" s="18">
        <v>10</v>
      </c>
      <c r="E39" s="19">
        <f t="shared" si="3"/>
        <v>10</v>
      </c>
      <c r="F39" s="17">
        <f>Zeta_Hamaker!$B$15</f>
        <v>7.1699999999999994E-21</v>
      </c>
      <c r="G39" s="14" t="s">
        <v>91</v>
      </c>
      <c r="H39" s="14" t="s">
        <v>91</v>
      </c>
      <c r="I39" s="14"/>
      <c r="J39" s="14"/>
      <c r="K39" s="14"/>
      <c r="L39" s="14"/>
      <c r="M39" s="14"/>
      <c r="N39" s="14"/>
      <c r="O39" s="14"/>
      <c r="P39" s="14"/>
      <c r="Q39" s="15" t="s">
        <v>24</v>
      </c>
    </row>
    <row r="40" spans="1:17" x14ac:dyDescent="0.35">
      <c r="A40" s="5" t="s">
        <v>70</v>
      </c>
      <c r="B40" s="20">
        <v>1.1000000000000001</v>
      </c>
      <c r="C40" s="21">
        <f t="shared" si="2"/>
        <v>5.5000000000000003E-7</v>
      </c>
      <c r="D40" s="22">
        <v>20</v>
      </c>
      <c r="E40" s="23">
        <f t="shared" si="3"/>
        <v>20</v>
      </c>
      <c r="F40" s="21">
        <f>Zeta_Hamaker!$B$15</f>
        <v>7.1699999999999994E-21</v>
      </c>
      <c r="G40" s="24">
        <f>Zeta_Hamaker!$B$9</f>
        <v>-0.05</v>
      </c>
      <c r="H40" s="24">
        <f>Zeta_Hamaker!$C$9</f>
        <v>-5.0999999999999997E-2</v>
      </c>
      <c r="I40" s="21">
        <f>SQRT(2*Constants!$C$10*Constants!$C$5^2*E40/(Constants!$C$8*Constants!$C$9*Constants!$C$17))</f>
        <v>464268596.26112574</v>
      </c>
      <c r="J40" s="25">
        <f>1/I40*1000000000</f>
        <v>2.1539255682018057</v>
      </c>
      <c r="K40" s="26">
        <f>TANH(Constants!$C$11*Constants!$C$5*G40/(4*Constants!$C$17))</f>
        <v>-0.45782444461912492</v>
      </c>
      <c r="L40" s="26">
        <f>TANH(Constants!$C$11*Constants!$C$5*H40/(4*Constants!$C$17))</f>
        <v>-0.46560684773581046</v>
      </c>
      <c r="M40" s="20">
        <v>18.5030643294904</v>
      </c>
      <c r="N40" s="26">
        <f>(-(F40*C40/(6*M40/1000000000))/(1+14*(M40/1000000000)/Constants!$C$12))/Constants!$C$17</f>
        <v>-2.4433346147483896</v>
      </c>
      <c r="O40" s="26">
        <f>64*PI()*Constants!$C$8*Constants!$C$9*C40*(Constants!$C$17/(Constants!$C$11*Constants!$C$5))^2*K40*L40*EXP(-I40*(M40/1000000000))/Constants!$C$17</f>
        <v>0.48968103463709961</v>
      </c>
      <c r="P40" s="27">
        <f>MAX(-(N40+O40),0)</f>
        <v>1.95365358011129</v>
      </c>
      <c r="Q40" s="5" t="s">
        <v>92</v>
      </c>
    </row>
    <row r="41" spans="1:17" x14ac:dyDescent="0.35">
      <c r="A41" s="5" t="s">
        <v>70</v>
      </c>
      <c r="B41" s="20">
        <v>1.1000000000000001</v>
      </c>
      <c r="C41" s="21">
        <f t="shared" si="2"/>
        <v>5.5000000000000003E-7</v>
      </c>
      <c r="D41" s="22">
        <v>50</v>
      </c>
      <c r="E41" s="23">
        <f t="shared" si="3"/>
        <v>50</v>
      </c>
      <c r="F41" s="21">
        <f>Zeta_Hamaker!$B$15</f>
        <v>7.1699999999999994E-21</v>
      </c>
      <c r="G41" s="24">
        <f>Zeta_Hamaker!$B$10</f>
        <v>-0.04</v>
      </c>
      <c r="H41" s="24">
        <f>Zeta_Hamaker!$C$10</f>
        <v>-3.7999999999999999E-2</v>
      </c>
      <c r="I41" s="21">
        <f>SQRT(2*Constants!$C$10*Constants!$C$5^2*E41/(Constants!$C$8*Constants!$C$9*Constants!$C$17))</f>
        <v>734073105.1371454</v>
      </c>
      <c r="J41" s="25">
        <f>1/I41*1000000000</f>
        <v>1.3622621411980105</v>
      </c>
      <c r="K41" s="26">
        <f>TANH(Constants!$C$11*Constants!$C$5*G41/(4*Constants!$C$17))</f>
        <v>-0.37621586596105322</v>
      </c>
      <c r="L41" s="26">
        <f>TANH(Constants!$C$11*Constants!$C$5*H41/(4*Constants!$C$17))</f>
        <v>-0.35910850739632705</v>
      </c>
      <c r="M41" s="20">
        <v>9.3850769296704293</v>
      </c>
      <c r="N41" s="26">
        <f>(-(F41*C41/(6*M41/1000000000))/(1+14*(M41/1000000000)/Constants!$C$12))/Constants!$C$17</f>
        <v>-7.4746094536207073</v>
      </c>
      <c r="O41" s="26">
        <f>64*PI()*Constants!$C$8*Constants!$C$9*C41*(Constants!$C$17/(Constants!$C$11*Constants!$C$5))^2*K41*L41*EXP(-I41*(M41/1000000000))/Constants!$C$17</f>
        <v>1.7006633247868725</v>
      </c>
      <c r="P41" s="27">
        <f>MAX(-(N41+O41),0)</f>
        <v>5.7739461288338347</v>
      </c>
      <c r="Q41" s="5" t="s">
        <v>92</v>
      </c>
    </row>
    <row r="42" spans="1:17" x14ac:dyDescent="0.35">
      <c r="A42" s="15" t="s">
        <v>70</v>
      </c>
      <c r="B42" s="16">
        <v>2</v>
      </c>
      <c r="C42" s="17">
        <f t="shared" si="2"/>
        <v>9.9999999999999995E-7</v>
      </c>
      <c r="D42" s="18">
        <v>1</v>
      </c>
      <c r="E42" s="19">
        <f t="shared" si="3"/>
        <v>1</v>
      </c>
      <c r="F42" s="17">
        <f>Zeta_Hamaker!$B$15</f>
        <v>7.1699999999999994E-21</v>
      </c>
      <c r="G42" s="14" t="s">
        <v>91</v>
      </c>
      <c r="H42" s="14" t="s">
        <v>91</v>
      </c>
      <c r="I42" s="14"/>
      <c r="J42" s="14"/>
      <c r="K42" s="14"/>
      <c r="L42" s="14"/>
      <c r="M42" s="14"/>
      <c r="N42" s="14"/>
      <c r="O42" s="14"/>
      <c r="P42" s="14"/>
      <c r="Q42" s="15" t="s">
        <v>24</v>
      </c>
    </row>
    <row r="43" spans="1:17" x14ac:dyDescent="0.35">
      <c r="A43" s="15" t="s">
        <v>70</v>
      </c>
      <c r="B43" s="16">
        <v>2</v>
      </c>
      <c r="C43" s="17">
        <f t="shared" si="2"/>
        <v>9.9999999999999995E-7</v>
      </c>
      <c r="D43" s="18">
        <v>3</v>
      </c>
      <c r="E43" s="19">
        <f t="shared" si="3"/>
        <v>3</v>
      </c>
      <c r="F43" s="17">
        <f>Zeta_Hamaker!$B$15</f>
        <v>7.1699999999999994E-21</v>
      </c>
      <c r="G43" s="14" t="s">
        <v>91</v>
      </c>
      <c r="H43" s="14" t="s">
        <v>91</v>
      </c>
      <c r="I43" s="14"/>
      <c r="J43" s="14"/>
      <c r="K43" s="14"/>
      <c r="L43" s="14"/>
      <c r="M43" s="14"/>
      <c r="N43" s="14"/>
      <c r="O43" s="14"/>
      <c r="P43" s="14"/>
      <c r="Q43" s="15" t="s">
        <v>24</v>
      </c>
    </row>
    <row r="44" spans="1:17" x14ac:dyDescent="0.35">
      <c r="A44" s="5" t="s">
        <v>70</v>
      </c>
      <c r="B44" s="20">
        <v>2</v>
      </c>
      <c r="C44" s="21">
        <f t="shared" si="2"/>
        <v>9.9999999999999995E-7</v>
      </c>
      <c r="D44" s="22">
        <v>6</v>
      </c>
      <c r="E44" s="23">
        <f t="shared" si="3"/>
        <v>6</v>
      </c>
      <c r="F44" s="21">
        <f>Zeta_Hamaker!$B$15</f>
        <v>7.1699999999999994E-21</v>
      </c>
      <c r="G44" s="24">
        <f>Zeta_Hamaker!$B$7</f>
        <v>-6.4000000000000001E-2</v>
      </c>
      <c r="H44" s="24">
        <f>Zeta_Hamaker!$C$7</f>
        <v>-7.0000000000000007E-2</v>
      </c>
      <c r="I44" s="21">
        <f>SQRT(2*Constants!$C$10*Constants!$C$5^2*E44/(Constants!$C$8*Constants!$C$9*Constants!$C$17))</f>
        <v>254290382.91347721</v>
      </c>
      <c r="J44" s="25">
        <f>1/I44*1000000000</f>
        <v>3.9325120696375371</v>
      </c>
      <c r="K44" s="26">
        <f>TANH(Constants!$C$11*Constants!$C$5*G44/(4*Constants!$C$17))</f>
        <v>-0.5601356355893784</v>
      </c>
      <c r="L44" s="26">
        <f>TANH(Constants!$C$11*Constants!$C$5*H44/(4*Constants!$C$17))</f>
        <v>-0.59950714590437115</v>
      </c>
      <c r="M44" s="20">
        <v>41.882569750996502</v>
      </c>
      <c r="N44" s="26">
        <f>(-(F44*C44/(6*M44/1000000000))/(1+14*(M44/1000000000)/Constants!$C$12))/Constants!$C$17</f>
        <v>-1.0266620777509599</v>
      </c>
      <c r="O44" s="26">
        <f>64*PI()*Constants!$C$8*Constants!$C$9*C44*(Constants!$C$17/(Constants!$C$11*Constants!$C$5))^2*K44*L44*EXP(-I44*(M44/1000000000))/Constants!$C$17</f>
        <v>0.17877136215205078</v>
      </c>
      <c r="P44" s="27">
        <f>MAX(-(N44+O44),0)</f>
        <v>0.84789071559890905</v>
      </c>
      <c r="Q44" s="5" t="s">
        <v>24</v>
      </c>
    </row>
    <row r="45" spans="1:17" x14ac:dyDescent="0.35">
      <c r="A45" s="15" t="s">
        <v>70</v>
      </c>
      <c r="B45" s="16">
        <v>2</v>
      </c>
      <c r="C45" s="17">
        <f t="shared" si="2"/>
        <v>9.9999999999999995E-7</v>
      </c>
      <c r="D45" s="18">
        <v>10</v>
      </c>
      <c r="E45" s="19">
        <f t="shared" si="3"/>
        <v>10</v>
      </c>
      <c r="F45" s="17">
        <f>Zeta_Hamaker!$B$15</f>
        <v>7.1699999999999994E-21</v>
      </c>
      <c r="G45" s="14" t="s">
        <v>91</v>
      </c>
      <c r="H45" s="14" t="s">
        <v>91</v>
      </c>
      <c r="I45" s="14"/>
      <c r="J45" s="14"/>
      <c r="K45" s="14"/>
      <c r="L45" s="14"/>
      <c r="M45" s="14"/>
      <c r="N45" s="14"/>
      <c r="O45" s="14"/>
      <c r="P45" s="14"/>
      <c r="Q45" s="15" t="s">
        <v>24</v>
      </c>
    </row>
    <row r="46" spans="1:17" x14ac:dyDescent="0.35">
      <c r="A46" s="5" t="s">
        <v>70</v>
      </c>
      <c r="B46" s="20">
        <v>2</v>
      </c>
      <c r="C46" s="21">
        <f t="shared" si="2"/>
        <v>9.9999999999999995E-7</v>
      </c>
      <c r="D46" s="22">
        <v>20</v>
      </c>
      <c r="E46" s="23">
        <f t="shared" si="3"/>
        <v>20</v>
      </c>
      <c r="F46" s="21">
        <f>Zeta_Hamaker!$B$15</f>
        <v>7.1699999999999994E-21</v>
      </c>
      <c r="G46" s="24">
        <f>Zeta_Hamaker!$B$9</f>
        <v>-0.05</v>
      </c>
      <c r="H46" s="24">
        <f>Zeta_Hamaker!$C$9</f>
        <v>-5.0999999999999997E-2</v>
      </c>
      <c r="I46" s="21">
        <f>SQRT(2*Constants!$C$10*Constants!$C$5^2*E46/(Constants!$C$8*Constants!$C$9*Constants!$C$17))</f>
        <v>464268596.26112574</v>
      </c>
      <c r="J46" s="25">
        <f>1/I46*1000000000</f>
        <v>2.1539255682018057</v>
      </c>
      <c r="K46" s="26">
        <f>TANH(Constants!$C$11*Constants!$C$5*G46/(4*Constants!$C$17))</f>
        <v>-0.45782444461912492</v>
      </c>
      <c r="L46" s="26">
        <f>TANH(Constants!$C$11*Constants!$C$5*H46/(4*Constants!$C$17))</f>
        <v>-0.46560684773581046</v>
      </c>
      <c r="M46" s="20">
        <v>18.5030643294904</v>
      </c>
      <c r="N46" s="26">
        <f>(-(F46*C46/(6*M46/1000000000))/(1+14*(M46/1000000000)/Constants!$C$12))/Constants!$C$17</f>
        <v>-4.4424265722697989</v>
      </c>
      <c r="O46" s="26">
        <f>64*PI()*Constants!$C$8*Constants!$C$9*C46*(Constants!$C$17/(Constants!$C$11*Constants!$C$5))^2*K46*L46*EXP(-I46*(M46/1000000000))/Constants!$C$17</f>
        <v>0.8903291538856356</v>
      </c>
      <c r="P46" s="27">
        <f>MAX(-(N46+O46),0)</f>
        <v>3.5520974183841632</v>
      </c>
      <c r="Q46" s="5" t="s">
        <v>92</v>
      </c>
    </row>
    <row r="47" spans="1:17" x14ac:dyDescent="0.35">
      <c r="A47" s="5" t="s">
        <v>70</v>
      </c>
      <c r="B47" s="20">
        <v>2</v>
      </c>
      <c r="C47" s="21">
        <f t="shared" si="2"/>
        <v>9.9999999999999995E-7</v>
      </c>
      <c r="D47" s="22">
        <v>50</v>
      </c>
      <c r="E47" s="23">
        <f t="shared" si="3"/>
        <v>50</v>
      </c>
      <c r="F47" s="21">
        <f>Zeta_Hamaker!$B$15</f>
        <v>7.1699999999999994E-21</v>
      </c>
      <c r="G47" s="24">
        <f>Zeta_Hamaker!$B$10</f>
        <v>-0.04</v>
      </c>
      <c r="H47" s="24">
        <f>Zeta_Hamaker!$C$10</f>
        <v>-3.7999999999999999E-2</v>
      </c>
      <c r="I47" s="21">
        <f>SQRT(2*Constants!$C$10*Constants!$C$5^2*E47/(Constants!$C$8*Constants!$C$9*Constants!$C$17))</f>
        <v>734073105.1371454</v>
      </c>
      <c r="J47" s="25">
        <f>1/I47*1000000000</f>
        <v>1.3622621411980105</v>
      </c>
      <c r="K47" s="26">
        <f>TANH(Constants!$C$11*Constants!$C$5*G47/(4*Constants!$C$17))</f>
        <v>-0.37621586596105322</v>
      </c>
      <c r="L47" s="26">
        <f>TANH(Constants!$C$11*Constants!$C$5*H47/(4*Constants!$C$17))</f>
        <v>-0.35910850739632705</v>
      </c>
      <c r="M47" s="20">
        <v>9.3850769296704293</v>
      </c>
      <c r="N47" s="26">
        <f>(-(F47*C47/(6*M47/1000000000))/(1+14*(M47/1000000000)/Constants!$C$12))/Constants!$C$17</f>
        <v>-13.590199006583104</v>
      </c>
      <c r="O47" s="26">
        <f>64*PI()*Constants!$C$8*Constants!$C$9*C47*(Constants!$C$17/(Constants!$C$11*Constants!$C$5))^2*K47*L47*EXP(-I47*(M47/1000000000))/Constants!$C$17</f>
        <v>3.0921151359761314</v>
      </c>
      <c r="P47" s="27">
        <f>MAX(-(N47+O47),0)</f>
        <v>10.498083870606973</v>
      </c>
      <c r="Q47" s="5" t="s">
        <v>92</v>
      </c>
    </row>
    <row r="48" spans="1:17" x14ac:dyDescent="0.35">
      <c r="A48" s="15" t="s">
        <v>72</v>
      </c>
      <c r="B48" s="16">
        <v>0.1</v>
      </c>
      <c r="C48" s="17">
        <f t="shared" si="2"/>
        <v>4.9999999999999998E-8</v>
      </c>
      <c r="D48" s="18">
        <v>1</v>
      </c>
      <c r="E48" s="19">
        <f t="shared" si="3"/>
        <v>1</v>
      </c>
      <c r="F48" s="17">
        <f>Zeta_Hamaker!$B$16</f>
        <v>1.9600000000000001E-20</v>
      </c>
      <c r="G48" s="14" t="s">
        <v>91</v>
      </c>
      <c r="H48" s="14" t="s">
        <v>91</v>
      </c>
      <c r="I48" s="14"/>
      <c r="J48" s="14"/>
      <c r="K48" s="14"/>
      <c r="L48" s="14"/>
      <c r="M48" s="14"/>
      <c r="N48" s="14"/>
      <c r="O48" s="14"/>
      <c r="P48" s="14"/>
      <c r="Q48" s="15" t="s">
        <v>24</v>
      </c>
    </row>
    <row r="49" spans="1:17" x14ac:dyDescent="0.35">
      <c r="A49" s="15" t="s">
        <v>72</v>
      </c>
      <c r="B49" s="16">
        <v>0.1</v>
      </c>
      <c r="C49" s="17">
        <f t="shared" si="2"/>
        <v>4.9999999999999998E-8</v>
      </c>
      <c r="D49" s="18">
        <v>3</v>
      </c>
      <c r="E49" s="19">
        <f t="shared" si="3"/>
        <v>3</v>
      </c>
      <c r="F49" s="17">
        <f>Zeta_Hamaker!$B$16</f>
        <v>1.9600000000000001E-20</v>
      </c>
      <c r="G49" s="14" t="s">
        <v>91</v>
      </c>
      <c r="H49" s="14" t="s">
        <v>91</v>
      </c>
      <c r="I49" s="14"/>
      <c r="J49" s="14"/>
      <c r="K49" s="14"/>
      <c r="L49" s="14"/>
      <c r="M49" s="14"/>
      <c r="N49" s="14"/>
      <c r="O49" s="14"/>
      <c r="P49" s="14"/>
      <c r="Q49" s="15" t="s">
        <v>24</v>
      </c>
    </row>
    <row r="50" spans="1:17" x14ac:dyDescent="0.35">
      <c r="A50" s="5" t="s">
        <v>72</v>
      </c>
      <c r="B50" s="20">
        <v>0.1</v>
      </c>
      <c r="C50" s="21">
        <f t="shared" si="2"/>
        <v>4.9999999999999998E-8</v>
      </c>
      <c r="D50" s="22">
        <v>6</v>
      </c>
      <c r="E50" s="23">
        <f t="shared" si="3"/>
        <v>6</v>
      </c>
      <c r="F50" s="21">
        <f>Zeta_Hamaker!$B$16</f>
        <v>1.9600000000000001E-20</v>
      </c>
      <c r="G50" s="24">
        <f>Zeta_Hamaker!$B$7</f>
        <v>-6.4000000000000001E-2</v>
      </c>
      <c r="H50" s="24">
        <f>Zeta_Hamaker!$D$7</f>
        <v>-8.3000000000000004E-2</v>
      </c>
      <c r="I50" s="21">
        <f>SQRT(2*Constants!$C$10*Constants!$C$5^2*E50/(Constants!$C$8*Constants!$C$9*Constants!$C$17))</f>
        <v>254290382.91347721</v>
      </c>
      <c r="J50" s="25">
        <f>1/I50*1000000000</f>
        <v>3.9325120696375371</v>
      </c>
      <c r="K50" s="26">
        <f>TANH(Constants!$C$11*Constants!$C$5*G50/(4*Constants!$C$17))</f>
        <v>-0.5601356355893784</v>
      </c>
      <c r="L50" s="26">
        <f>TANH(Constants!$C$11*Constants!$C$5*H50/(4*Constants!$C$17))</f>
        <v>-0.67559304338784509</v>
      </c>
      <c r="M50" s="20">
        <v>37.064329490421301</v>
      </c>
      <c r="N50" s="26">
        <f>(-(F50*C50/(6*M50/1000000000))/(1+14*(M50/1000000000)/Constants!$C$12))/Constants!$C$17</f>
        <v>-0.17584908790282539</v>
      </c>
      <c r="O50" s="26">
        <f>64*PI()*Constants!$C$8*Constants!$C$9*C50*(Constants!$C$17/(Constants!$C$11*Constants!$C$5))^2*K50*L50*EXP(-I50*(M50/1000000000))/Constants!$C$17</f>
        <v>3.4298120749423011E-2</v>
      </c>
      <c r="P50" s="27">
        <f>MAX(-(N50+O50),0)</f>
        <v>0.14155096715340237</v>
      </c>
      <c r="Q50" s="5" t="s">
        <v>24</v>
      </c>
    </row>
    <row r="51" spans="1:17" x14ac:dyDescent="0.35">
      <c r="A51" s="15" t="s">
        <v>72</v>
      </c>
      <c r="B51" s="16">
        <v>0.1</v>
      </c>
      <c r="C51" s="17">
        <f t="shared" si="2"/>
        <v>4.9999999999999998E-8</v>
      </c>
      <c r="D51" s="18">
        <v>10</v>
      </c>
      <c r="E51" s="19">
        <f t="shared" si="3"/>
        <v>10</v>
      </c>
      <c r="F51" s="17">
        <f>Zeta_Hamaker!$B$16</f>
        <v>1.9600000000000001E-20</v>
      </c>
      <c r="G51" s="14" t="s">
        <v>91</v>
      </c>
      <c r="H51" s="14" t="s">
        <v>91</v>
      </c>
      <c r="I51" s="14"/>
      <c r="J51" s="14"/>
      <c r="K51" s="14"/>
      <c r="L51" s="14"/>
      <c r="M51" s="14"/>
      <c r="N51" s="14"/>
      <c r="O51" s="14"/>
      <c r="P51" s="14"/>
      <c r="Q51" s="15" t="s">
        <v>24</v>
      </c>
    </row>
    <row r="52" spans="1:17" x14ac:dyDescent="0.35">
      <c r="A52" s="5" t="s">
        <v>72</v>
      </c>
      <c r="B52" s="20">
        <v>0.1</v>
      </c>
      <c r="C52" s="21">
        <f t="shared" si="2"/>
        <v>4.9999999999999998E-8</v>
      </c>
      <c r="D52" s="22">
        <v>20</v>
      </c>
      <c r="E52" s="23">
        <f t="shared" si="3"/>
        <v>20</v>
      </c>
      <c r="F52" s="21">
        <f>Zeta_Hamaker!$B$16</f>
        <v>1.9600000000000001E-20</v>
      </c>
      <c r="G52" s="24">
        <f>Zeta_Hamaker!$B$9</f>
        <v>-0.05</v>
      </c>
      <c r="H52" s="24">
        <f>Zeta_Hamaker!$D$9</f>
        <v>-6.9000000000000006E-2</v>
      </c>
      <c r="I52" s="21">
        <f>SQRT(2*Constants!$C$10*Constants!$C$5^2*E52/(Constants!$C$8*Constants!$C$9*Constants!$C$17))</f>
        <v>464268596.26112574</v>
      </c>
      <c r="J52" s="25">
        <f>1/I52*1000000000</f>
        <v>2.1539255682018057</v>
      </c>
      <c r="K52" s="26">
        <f>TANH(Constants!$C$11*Constants!$C$5*G52/(4*Constants!$C$17))</f>
        <v>-0.45782444461912492</v>
      </c>
      <c r="L52" s="26">
        <f>TANH(Constants!$C$11*Constants!$C$5*H52/(4*Constants!$C$17))</f>
        <v>-0.59313340323756303</v>
      </c>
      <c r="M52" s="20">
        <v>16.076201088586998</v>
      </c>
      <c r="N52" s="26">
        <f>(-(F52*C52/(6*M52/1000000000))/(1+14*(M52/1000000000)/Constants!$C$12))/Constants!$C$17</f>
        <v>-0.77190013069463015</v>
      </c>
      <c r="O52" s="26">
        <f>64*PI()*Constants!$C$8*Constants!$C$9*C52*(Constants!$C$17/(Constants!$C$11*Constants!$C$5))^2*K52*L52*EXP(-I52*(M52/1000000000))/Constants!$C$17</f>
        <v>0.17497674513510031</v>
      </c>
      <c r="P52" s="27">
        <f>MAX(-(N52+O52),0)</f>
        <v>0.59692338555952984</v>
      </c>
      <c r="Q52" s="5" t="s">
        <v>24</v>
      </c>
    </row>
    <row r="53" spans="1:17" x14ac:dyDescent="0.35">
      <c r="A53" s="15" t="s">
        <v>72</v>
      </c>
      <c r="B53" s="16">
        <v>0.1</v>
      </c>
      <c r="C53" s="17">
        <f t="shared" si="2"/>
        <v>4.9999999999999998E-8</v>
      </c>
      <c r="D53" s="18">
        <v>50</v>
      </c>
      <c r="E53" s="19">
        <f t="shared" si="3"/>
        <v>50</v>
      </c>
      <c r="F53" s="17">
        <f>Zeta_Hamaker!$B$16</f>
        <v>1.9600000000000001E-20</v>
      </c>
      <c r="G53" s="14" t="s">
        <v>91</v>
      </c>
      <c r="H53" s="14" t="s">
        <v>91</v>
      </c>
      <c r="I53" s="14"/>
      <c r="J53" s="14"/>
      <c r="K53" s="14"/>
      <c r="L53" s="14"/>
      <c r="M53" s="14"/>
      <c r="N53" s="14"/>
      <c r="O53" s="14"/>
      <c r="P53" s="14"/>
      <c r="Q53" s="15" t="s">
        <v>24</v>
      </c>
    </row>
    <row r="54" spans="1:17" x14ac:dyDescent="0.35">
      <c r="A54" s="15" t="s">
        <v>72</v>
      </c>
      <c r="B54" s="16">
        <v>0.2</v>
      </c>
      <c r="C54" s="17">
        <f t="shared" si="2"/>
        <v>9.9999999999999995E-8</v>
      </c>
      <c r="D54" s="18">
        <v>1</v>
      </c>
      <c r="E54" s="19">
        <f t="shared" si="3"/>
        <v>1</v>
      </c>
      <c r="F54" s="17">
        <f>Zeta_Hamaker!$B$16</f>
        <v>1.9600000000000001E-20</v>
      </c>
      <c r="G54" s="14" t="s">
        <v>91</v>
      </c>
      <c r="H54" s="14" t="s">
        <v>91</v>
      </c>
      <c r="I54" s="14"/>
      <c r="J54" s="14"/>
      <c r="K54" s="14"/>
      <c r="L54" s="14"/>
      <c r="M54" s="14"/>
      <c r="N54" s="14"/>
      <c r="O54" s="14"/>
      <c r="P54" s="14"/>
      <c r="Q54" s="15" t="s">
        <v>24</v>
      </c>
    </row>
    <row r="55" spans="1:17" x14ac:dyDescent="0.35">
      <c r="A55" s="15" t="s">
        <v>72</v>
      </c>
      <c r="B55" s="16">
        <v>0.2</v>
      </c>
      <c r="C55" s="17">
        <f t="shared" si="2"/>
        <v>9.9999999999999995E-8</v>
      </c>
      <c r="D55" s="18">
        <v>3</v>
      </c>
      <c r="E55" s="19">
        <f t="shared" si="3"/>
        <v>3</v>
      </c>
      <c r="F55" s="17">
        <f>Zeta_Hamaker!$B$16</f>
        <v>1.9600000000000001E-20</v>
      </c>
      <c r="G55" s="14" t="s">
        <v>91</v>
      </c>
      <c r="H55" s="14" t="s">
        <v>91</v>
      </c>
      <c r="I55" s="14"/>
      <c r="J55" s="14"/>
      <c r="K55" s="14"/>
      <c r="L55" s="14"/>
      <c r="M55" s="14"/>
      <c r="N55" s="14"/>
      <c r="O55" s="14"/>
      <c r="P55" s="14"/>
      <c r="Q55" s="15" t="s">
        <v>24</v>
      </c>
    </row>
    <row r="56" spans="1:17" x14ac:dyDescent="0.35">
      <c r="A56" s="5" t="s">
        <v>72</v>
      </c>
      <c r="B56" s="20">
        <v>0.2</v>
      </c>
      <c r="C56" s="21">
        <f t="shared" si="2"/>
        <v>9.9999999999999995E-8</v>
      </c>
      <c r="D56" s="22">
        <v>6</v>
      </c>
      <c r="E56" s="23">
        <f t="shared" si="3"/>
        <v>6</v>
      </c>
      <c r="F56" s="21">
        <f>Zeta_Hamaker!$B$16</f>
        <v>1.9600000000000001E-20</v>
      </c>
      <c r="G56" s="24">
        <f>Zeta_Hamaker!$B$7</f>
        <v>-6.4000000000000001E-2</v>
      </c>
      <c r="H56" s="24">
        <f>Zeta_Hamaker!$D$7</f>
        <v>-8.3000000000000004E-2</v>
      </c>
      <c r="I56" s="21">
        <f>SQRT(2*Constants!$C$10*Constants!$C$5^2*E56/(Constants!$C$8*Constants!$C$9*Constants!$C$17))</f>
        <v>254290382.91347721</v>
      </c>
      <c r="J56" s="25">
        <f>1/I56*1000000000</f>
        <v>3.9325120696375371</v>
      </c>
      <c r="K56" s="26">
        <f>TANH(Constants!$C$11*Constants!$C$5*G56/(4*Constants!$C$17))</f>
        <v>-0.5601356355893784</v>
      </c>
      <c r="L56" s="26">
        <f>TANH(Constants!$C$11*Constants!$C$5*H56/(4*Constants!$C$17))</f>
        <v>-0.67559304338784509</v>
      </c>
      <c r="M56" s="20">
        <v>37.064329490421301</v>
      </c>
      <c r="N56" s="26">
        <f>(-(F56*C56/(6*M56/1000000000))/(1+14*(M56/1000000000)/Constants!$C$12))/Constants!$C$17</f>
        <v>-0.35169817580565077</v>
      </c>
      <c r="O56" s="26">
        <f>64*PI()*Constants!$C$8*Constants!$C$9*C56*(Constants!$C$17/(Constants!$C$11*Constants!$C$5))^2*K56*L56*EXP(-I56*(M56/1000000000))/Constants!$C$17</f>
        <v>6.8596241498846022E-2</v>
      </c>
      <c r="P56" s="27">
        <f>MAX(-(N56+O56),0)</f>
        <v>0.28310193430680475</v>
      </c>
      <c r="Q56" s="5" t="s">
        <v>24</v>
      </c>
    </row>
    <row r="57" spans="1:17" x14ac:dyDescent="0.35">
      <c r="A57" s="15" t="s">
        <v>72</v>
      </c>
      <c r="B57" s="16">
        <v>0.2</v>
      </c>
      <c r="C57" s="17">
        <f t="shared" si="2"/>
        <v>9.9999999999999995E-8</v>
      </c>
      <c r="D57" s="18">
        <v>10</v>
      </c>
      <c r="E57" s="19">
        <f t="shared" si="3"/>
        <v>10</v>
      </c>
      <c r="F57" s="17">
        <f>Zeta_Hamaker!$B$16</f>
        <v>1.9600000000000001E-20</v>
      </c>
      <c r="G57" s="14" t="s">
        <v>91</v>
      </c>
      <c r="H57" s="14" t="s">
        <v>91</v>
      </c>
      <c r="I57" s="14"/>
      <c r="J57" s="14"/>
      <c r="K57" s="14"/>
      <c r="L57" s="14"/>
      <c r="M57" s="14"/>
      <c r="N57" s="14"/>
      <c r="O57" s="14"/>
      <c r="P57" s="14"/>
      <c r="Q57" s="15" t="s">
        <v>24</v>
      </c>
    </row>
    <row r="58" spans="1:17" x14ac:dyDescent="0.35">
      <c r="A58" s="5" t="s">
        <v>72</v>
      </c>
      <c r="B58" s="20">
        <v>0.2</v>
      </c>
      <c r="C58" s="21">
        <f t="shared" si="2"/>
        <v>9.9999999999999995E-8</v>
      </c>
      <c r="D58" s="22">
        <v>20</v>
      </c>
      <c r="E58" s="23">
        <f t="shared" si="3"/>
        <v>20</v>
      </c>
      <c r="F58" s="21">
        <f>Zeta_Hamaker!$B$16</f>
        <v>1.9600000000000001E-20</v>
      </c>
      <c r="G58" s="24">
        <f>Zeta_Hamaker!$B$9</f>
        <v>-0.05</v>
      </c>
      <c r="H58" s="24">
        <f>Zeta_Hamaker!$D$9</f>
        <v>-6.9000000000000006E-2</v>
      </c>
      <c r="I58" s="21">
        <f>SQRT(2*Constants!$C$10*Constants!$C$5^2*E58/(Constants!$C$8*Constants!$C$9*Constants!$C$17))</f>
        <v>464268596.26112574</v>
      </c>
      <c r="J58" s="25">
        <f>1/I58*1000000000</f>
        <v>2.1539255682018057</v>
      </c>
      <c r="K58" s="26">
        <f>TANH(Constants!$C$11*Constants!$C$5*G58/(4*Constants!$C$17))</f>
        <v>-0.45782444461912492</v>
      </c>
      <c r="L58" s="26">
        <f>TANH(Constants!$C$11*Constants!$C$5*H58/(4*Constants!$C$17))</f>
        <v>-0.59313340323756303</v>
      </c>
      <c r="M58" s="20">
        <v>16.076201088586998</v>
      </c>
      <c r="N58" s="26">
        <f>(-(F58*C58/(6*M58/1000000000))/(1+14*(M58/1000000000)/Constants!$C$12))/Constants!$C$17</f>
        <v>-1.5438002613892603</v>
      </c>
      <c r="O58" s="26">
        <f>64*PI()*Constants!$C$8*Constants!$C$9*C58*(Constants!$C$17/(Constants!$C$11*Constants!$C$5))^2*K58*L58*EXP(-I58*(M58/1000000000))/Constants!$C$17</f>
        <v>0.34995349027020062</v>
      </c>
      <c r="P58" s="27">
        <f>MAX(-(N58+O58),0)</f>
        <v>1.1938467711190597</v>
      </c>
      <c r="Q58" s="5" t="s">
        <v>24</v>
      </c>
    </row>
    <row r="59" spans="1:17" x14ac:dyDescent="0.35">
      <c r="A59" s="15" t="s">
        <v>72</v>
      </c>
      <c r="B59" s="16">
        <v>0.2</v>
      </c>
      <c r="C59" s="17">
        <f t="shared" si="2"/>
        <v>9.9999999999999995E-8</v>
      </c>
      <c r="D59" s="18">
        <v>50</v>
      </c>
      <c r="E59" s="19">
        <f t="shared" si="3"/>
        <v>50</v>
      </c>
      <c r="F59" s="17">
        <f>Zeta_Hamaker!$B$16</f>
        <v>1.9600000000000001E-20</v>
      </c>
      <c r="G59" s="14" t="s">
        <v>91</v>
      </c>
      <c r="H59" s="14" t="s">
        <v>91</v>
      </c>
      <c r="I59" s="14"/>
      <c r="J59" s="14"/>
      <c r="K59" s="14"/>
      <c r="L59" s="14"/>
      <c r="M59" s="14"/>
      <c r="N59" s="14"/>
      <c r="O59" s="14"/>
      <c r="P59" s="14"/>
      <c r="Q59" s="15" t="s">
        <v>24</v>
      </c>
    </row>
    <row r="60" spans="1:17" x14ac:dyDescent="0.35">
      <c r="A60" s="15" t="s">
        <v>72</v>
      </c>
      <c r="B60" s="16">
        <v>0.5</v>
      </c>
      <c r="C60" s="17">
        <f t="shared" si="2"/>
        <v>2.4999999999999999E-7</v>
      </c>
      <c r="D60" s="18">
        <v>1</v>
      </c>
      <c r="E60" s="19">
        <f t="shared" si="3"/>
        <v>1</v>
      </c>
      <c r="F60" s="17">
        <f>Zeta_Hamaker!$B$16</f>
        <v>1.9600000000000001E-20</v>
      </c>
      <c r="G60" s="14" t="s">
        <v>91</v>
      </c>
      <c r="H60" s="14" t="s">
        <v>91</v>
      </c>
      <c r="I60" s="14"/>
      <c r="J60" s="14"/>
      <c r="K60" s="14"/>
      <c r="L60" s="14"/>
      <c r="M60" s="14"/>
      <c r="N60" s="14"/>
      <c r="O60" s="14"/>
      <c r="P60" s="14"/>
      <c r="Q60" s="15" t="s">
        <v>24</v>
      </c>
    </row>
    <row r="61" spans="1:17" x14ac:dyDescent="0.35">
      <c r="A61" s="15" t="s">
        <v>72</v>
      </c>
      <c r="B61" s="16">
        <v>0.5</v>
      </c>
      <c r="C61" s="17">
        <f t="shared" si="2"/>
        <v>2.4999999999999999E-7</v>
      </c>
      <c r="D61" s="18">
        <v>3</v>
      </c>
      <c r="E61" s="19">
        <f t="shared" si="3"/>
        <v>3</v>
      </c>
      <c r="F61" s="17">
        <f>Zeta_Hamaker!$B$16</f>
        <v>1.9600000000000001E-20</v>
      </c>
      <c r="G61" s="14" t="s">
        <v>91</v>
      </c>
      <c r="H61" s="14" t="s">
        <v>91</v>
      </c>
      <c r="I61" s="14"/>
      <c r="J61" s="14"/>
      <c r="K61" s="14"/>
      <c r="L61" s="14"/>
      <c r="M61" s="14"/>
      <c r="N61" s="14"/>
      <c r="O61" s="14"/>
      <c r="P61" s="14"/>
      <c r="Q61" s="15" t="s">
        <v>24</v>
      </c>
    </row>
    <row r="62" spans="1:17" x14ac:dyDescent="0.35">
      <c r="A62" s="5" t="s">
        <v>72</v>
      </c>
      <c r="B62" s="20">
        <v>0.5</v>
      </c>
      <c r="C62" s="21">
        <f t="shared" si="2"/>
        <v>2.4999999999999999E-7</v>
      </c>
      <c r="D62" s="22">
        <v>6</v>
      </c>
      <c r="E62" s="23">
        <f t="shared" si="3"/>
        <v>6</v>
      </c>
      <c r="F62" s="21">
        <f>Zeta_Hamaker!$B$16</f>
        <v>1.9600000000000001E-20</v>
      </c>
      <c r="G62" s="24">
        <f>Zeta_Hamaker!$B$7</f>
        <v>-6.4000000000000001E-2</v>
      </c>
      <c r="H62" s="24">
        <f>Zeta_Hamaker!$D$7</f>
        <v>-8.3000000000000004E-2</v>
      </c>
      <c r="I62" s="21">
        <f>SQRT(2*Constants!$C$10*Constants!$C$5^2*E62/(Constants!$C$8*Constants!$C$9*Constants!$C$17))</f>
        <v>254290382.91347721</v>
      </c>
      <c r="J62" s="25">
        <f>1/I62*1000000000</f>
        <v>3.9325120696375371</v>
      </c>
      <c r="K62" s="26">
        <f>TANH(Constants!$C$11*Constants!$C$5*G62/(4*Constants!$C$17))</f>
        <v>-0.5601356355893784</v>
      </c>
      <c r="L62" s="26">
        <f>TANH(Constants!$C$11*Constants!$C$5*H62/(4*Constants!$C$17))</f>
        <v>-0.67559304338784509</v>
      </c>
      <c r="M62" s="20">
        <v>37.064329490421301</v>
      </c>
      <c r="N62" s="26">
        <f>(-(F62*C62/(6*M62/1000000000))/(1+14*(M62/1000000000)/Constants!$C$12))/Constants!$C$17</f>
        <v>-0.87924543951412693</v>
      </c>
      <c r="O62" s="26">
        <f>64*PI()*Constants!$C$8*Constants!$C$9*C62*(Constants!$C$17/(Constants!$C$11*Constants!$C$5))^2*K62*L62*EXP(-I62*(M62/1000000000))/Constants!$C$17</f>
        <v>0.17149060374711508</v>
      </c>
      <c r="P62" s="27">
        <f>MAX(-(N62+O62),0)</f>
        <v>0.70775483576701181</v>
      </c>
      <c r="Q62" s="5" t="s">
        <v>24</v>
      </c>
    </row>
    <row r="63" spans="1:17" x14ac:dyDescent="0.35">
      <c r="A63" s="15" t="s">
        <v>72</v>
      </c>
      <c r="B63" s="16">
        <v>0.5</v>
      </c>
      <c r="C63" s="17">
        <f t="shared" si="2"/>
        <v>2.4999999999999999E-7</v>
      </c>
      <c r="D63" s="18">
        <v>10</v>
      </c>
      <c r="E63" s="19">
        <f t="shared" si="3"/>
        <v>10</v>
      </c>
      <c r="F63" s="17">
        <f>Zeta_Hamaker!$B$16</f>
        <v>1.9600000000000001E-20</v>
      </c>
      <c r="G63" s="14" t="s">
        <v>91</v>
      </c>
      <c r="H63" s="14" t="s">
        <v>91</v>
      </c>
      <c r="I63" s="14"/>
      <c r="J63" s="14"/>
      <c r="K63" s="14"/>
      <c r="L63" s="14"/>
      <c r="M63" s="14"/>
      <c r="N63" s="14"/>
      <c r="O63" s="14"/>
      <c r="P63" s="14"/>
      <c r="Q63" s="15" t="s">
        <v>24</v>
      </c>
    </row>
    <row r="64" spans="1:17" x14ac:dyDescent="0.35">
      <c r="A64" s="5" t="s">
        <v>72</v>
      </c>
      <c r="B64" s="20">
        <v>0.5</v>
      </c>
      <c r="C64" s="21">
        <f t="shared" si="2"/>
        <v>2.4999999999999999E-7</v>
      </c>
      <c r="D64" s="22">
        <v>20</v>
      </c>
      <c r="E64" s="23">
        <f t="shared" si="3"/>
        <v>20</v>
      </c>
      <c r="F64" s="21">
        <f>Zeta_Hamaker!$B$16</f>
        <v>1.9600000000000001E-20</v>
      </c>
      <c r="G64" s="24">
        <f>Zeta_Hamaker!$B$9</f>
        <v>-0.05</v>
      </c>
      <c r="H64" s="24">
        <f>Zeta_Hamaker!$D$9</f>
        <v>-6.9000000000000006E-2</v>
      </c>
      <c r="I64" s="21">
        <f>SQRT(2*Constants!$C$10*Constants!$C$5^2*E64/(Constants!$C$8*Constants!$C$9*Constants!$C$17))</f>
        <v>464268596.26112574</v>
      </c>
      <c r="J64" s="25">
        <f>1/I64*1000000000</f>
        <v>2.1539255682018057</v>
      </c>
      <c r="K64" s="26">
        <f>TANH(Constants!$C$11*Constants!$C$5*G64/(4*Constants!$C$17))</f>
        <v>-0.45782444461912492</v>
      </c>
      <c r="L64" s="26">
        <f>TANH(Constants!$C$11*Constants!$C$5*H64/(4*Constants!$C$17))</f>
        <v>-0.59313340323756303</v>
      </c>
      <c r="M64" s="20">
        <v>16.076201088586998</v>
      </c>
      <c r="N64" s="26">
        <f>(-(F64*C64/(6*M64/1000000000))/(1+14*(M64/1000000000)/Constants!$C$12))/Constants!$C$17</f>
        <v>-3.8595006534731504</v>
      </c>
      <c r="O64" s="26">
        <f>64*PI()*Constants!$C$8*Constants!$C$9*C64*(Constants!$C$17/(Constants!$C$11*Constants!$C$5))^2*K64*L64*EXP(-I64*(M64/1000000000))/Constants!$C$17</f>
        <v>0.87488372567550132</v>
      </c>
      <c r="P64" s="27">
        <f>MAX(-(N64+O64),0)</f>
        <v>2.9846169277976493</v>
      </c>
      <c r="Q64" s="5" t="s">
        <v>92</v>
      </c>
    </row>
    <row r="65" spans="1:17" x14ac:dyDescent="0.35">
      <c r="A65" s="15" t="s">
        <v>72</v>
      </c>
      <c r="B65" s="16">
        <v>0.5</v>
      </c>
      <c r="C65" s="17">
        <f t="shared" si="2"/>
        <v>2.4999999999999999E-7</v>
      </c>
      <c r="D65" s="18">
        <v>50</v>
      </c>
      <c r="E65" s="19">
        <f t="shared" si="3"/>
        <v>50</v>
      </c>
      <c r="F65" s="17">
        <f>Zeta_Hamaker!$B$16</f>
        <v>1.9600000000000001E-20</v>
      </c>
      <c r="G65" s="14" t="s">
        <v>91</v>
      </c>
      <c r="H65" s="14" t="s">
        <v>91</v>
      </c>
      <c r="I65" s="14"/>
      <c r="J65" s="14"/>
      <c r="K65" s="14"/>
      <c r="L65" s="14"/>
      <c r="M65" s="14"/>
      <c r="N65" s="14"/>
      <c r="O65" s="14"/>
      <c r="P65" s="14"/>
      <c r="Q65" s="15" t="s">
        <v>92</v>
      </c>
    </row>
    <row r="66" spans="1:17" x14ac:dyDescent="0.35">
      <c r="A66" s="15" t="s">
        <v>72</v>
      </c>
      <c r="B66" s="16">
        <v>0.98</v>
      </c>
      <c r="C66" s="17">
        <f t="shared" si="2"/>
        <v>4.8999999999999997E-7</v>
      </c>
      <c r="D66" s="18">
        <v>1</v>
      </c>
      <c r="E66" s="19">
        <f t="shared" si="3"/>
        <v>1</v>
      </c>
      <c r="F66" s="17">
        <f>Zeta_Hamaker!$B$16</f>
        <v>1.9600000000000001E-20</v>
      </c>
      <c r="G66" s="14" t="s">
        <v>91</v>
      </c>
      <c r="H66" s="14" t="s">
        <v>91</v>
      </c>
      <c r="I66" s="14"/>
      <c r="J66" s="14"/>
      <c r="K66" s="14"/>
      <c r="L66" s="14"/>
      <c r="M66" s="14"/>
      <c r="N66" s="14"/>
      <c r="O66" s="14"/>
      <c r="P66" s="14"/>
      <c r="Q66" s="15" t="s">
        <v>24</v>
      </c>
    </row>
    <row r="67" spans="1:17" x14ac:dyDescent="0.35">
      <c r="A67" s="15" t="s">
        <v>72</v>
      </c>
      <c r="B67" s="16">
        <v>0.98</v>
      </c>
      <c r="C67" s="17">
        <f t="shared" si="2"/>
        <v>4.8999999999999997E-7</v>
      </c>
      <c r="D67" s="18">
        <v>3</v>
      </c>
      <c r="E67" s="19">
        <f t="shared" si="3"/>
        <v>3</v>
      </c>
      <c r="F67" s="17">
        <f>Zeta_Hamaker!$B$16</f>
        <v>1.9600000000000001E-20</v>
      </c>
      <c r="G67" s="14" t="s">
        <v>91</v>
      </c>
      <c r="H67" s="14" t="s">
        <v>91</v>
      </c>
      <c r="I67" s="14"/>
      <c r="J67" s="14"/>
      <c r="K67" s="14"/>
      <c r="L67" s="14"/>
      <c r="M67" s="14"/>
      <c r="N67" s="14"/>
      <c r="O67" s="14"/>
      <c r="P67" s="14"/>
      <c r="Q67" s="15" t="s">
        <v>24</v>
      </c>
    </row>
    <row r="68" spans="1:17" x14ac:dyDescent="0.35">
      <c r="A68" s="5" t="s">
        <v>72</v>
      </c>
      <c r="B68" s="20">
        <v>0.98</v>
      </c>
      <c r="C68" s="21">
        <f t="shared" si="2"/>
        <v>4.8999999999999997E-7</v>
      </c>
      <c r="D68" s="22">
        <v>6</v>
      </c>
      <c r="E68" s="23">
        <f t="shared" si="3"/>
        <v>6</v>
      </c>
      <c r="F68" s="21">
        <f>Zeta_Hamaker!$B$16</f>
        <v>1.9600000000000001E-20</v>
      </c>
      <c r="G68" s="24">
        <f>Zeta_Hamaker!$B$7</f>
        <v>-6.4000000000000001E-2</v>
      </c>
      <c r="H68" s="24">
        <f>Zeta_Hamaker!$D$7</f>
        <v>-8.3000000000000004E-2</v>
      </c>
      <c r="I68" s="21">
        <f>SQRT(2*Constants!$C$10*Constants!$C$5^2*E68/(Constants!$C$8*Constants!$C$9*Constants!$C$17))</f>
        <v>254290382.91347721</v>
      </c>
      <c r="J68" s="25">
        <f>1/I68*1000000000</f>
        <v>3.9325120696375371</v>
      </c>
      <c r="K68" s="26">
        <f>TANH(Constants!$C$11*Constants!$C$5*G68/(4*Constants!$C$17))</f>
        <v>-0.5601356355893784</v>
      </c>
      <c r="L68" s="26">
        <f>TANH(Constants!$C$11*Constants!$C$5*H68/(4*Constants!$C$17))</f>
        <v>-0.67559304338784509</v>
      </c>
      <c r="M68" s="20">
        <v>37.064329490421301</v>
      </c>
      <c r="N68" s="26">
        <f>(-(F68*C68/(6*M68/1000000000))/(1+14*(M68/1000000000)/Constants!$C$12))/Constants!$C$17</f>
        <v>-1.7233210614476886</v>
      </c>
      <c r="O68" s="26">
        <f>64*PI()*Constants!$C$8*Constants!$C$9*C68*(Constants!$C$17/(Constants!$C$11*Constants!$C$5))^2*K68*L68*EXP(-I68*(M68/1000000000))/Constants!$C$17</f>
        <v>0.33612158334434555</v>
      </c>
      <c r="P68" s="27">
        <f>MAX(-(N68+O68),0)</f>
        <v>1.387199478103343</v>
      </c>
      <c r="Q68" s="5" t="s">
        <v>24</v>
      </c>
    </row>
    <row r="69" spans="1:17" x14ac:dyDescent="0.35">
      <c r="A69" s="15" t="s">
        <v>72</v>
      </c>
      <c r="B69" s="16">
        <v>0.98</v>
      </c>
      <c r="C69" s="17">
        <f t="shared" si="2"/>
        <v>4.8999999999999997E-7</v>
      </c>
      <c r="D69" s="18">
        <v>10</v>
      </c>
      <c r="E69" s="19">
        <f t="shared" si="3"/>
        <v>10</v>
      </c>
      <c r="F69" s="17">
        <f>Zeta_Hamaker!$B$16</f>
        <v>1.9600000000000001E-20</v>
      </c>
      <c r="G69" s="14" t="s">
        <v>91</v>
      </c>
      <c r="H69" s="14" t="s">
        <v>91</v>
      </c>
      <c r="I69" s="14"/>
      <c r="J69" s="14"/>
      <c r="K69" s="14"/>
      <c r="L69" s="14"/>
      <c r="M69" s="14"/>
      <c r="N69" s="14"/>
      <c r="O69" s="14"/>
      <c r="P69" s="14"/>
      <c r="Q69" s="15" t="s">
        <v>92</v>
      </c>
    </row>
    <row r="70" spans="1:17" x14ac:dyDescent="0.35">
      <c r="A70" s="5" t="s">
        <v>72</v>
      </c>
      <c r="B70" s="20">
        <v>0.98</v>
      </c>
      <c r="C70" s="21">
        <f t="shared" ref="C70:C89" si="4">B70/2*0.000001</f>
        <v>4.8999999999999997E-7</v>
      </c>
      <c r="D70" s="22">
        <v>20</v>
      </c>
      <c r="E70" s="23">
        <f t="shared" ref="E70:E89" si="5">D70</f>
        <v>20</v>
      </c>
      <c r="F70" s="21">
        <f>Zeta_Hamaker!$B$16</f>
        <v>1.9600000000000001E-20</v>
      </c>
      <c r="G70" s="24">
        <f>Zeta_Hamaker!$B$9</f>
        <v>-0.05</v>
      </c>
      <c r="H70" s="24">
        <f>Zeta_Hamaker!$D$9</f>
        <v>-6.9000000000000006E-2</v>
      </c>
      <c r="I70" s="21">
        <f>SQRT(2*Constants!$C$10*Constants!$C$5^2*E70/(Constants!$C$8*Constants!$C$9*Constants!$C$17))</f>
        <v>464268596.26112574</v>
      </c>
      <c r="J70" s="25">
        <f>1/I70*1000000000</f>
        <v>2.1539255682018057</v>
      </c>
      <c r="K70" s="26">
        <f>TANH(Constants!$C$11*Constants!$C$5*G70/(4*Constants!$C$17))</f>
        <v>-0.45782444461912492</v>
      </c>
      <c r="L70" s="26">
        <f>TANH(Constants!$C$11*Constants!$C$5*H70/(4*Constants!$C$17))</f>
        <v>-0.59313340323756303</v>
      </c>
      <c r="M70" s="20">
        <v>16.076201088586998</v>
      </c>
      <c r="N70" s="26">
        <f>(-(F70*C70/(6*M70/1000000000))/(1+14*(M70/1000000000)/Constants!$C$12))/Constants!$C$17</f>
        <v>-7.5646212808073745</v>
      </c>
      <c r="O70" s="26">
        <f>64*PI()*Constants!$C$8*Constants!$C$9*C70*(Constants!$C$17/(Constants!$C$11*Constants!$C$5))^2*K70*L70*EXP(-I70*(M70/1000000000))/Constants!$C$17</f>
        <v>1.7147721023239826</v>
      </c>
      <c r="P70" s="27">
        <f>MAX(-(N70+O70),0)</f>
        <v>5.8498491784833924</v>
      </c>
      <c r="Q70" s="5" t="s">
        <v>24</v>
      </c>
    </row>
    <row r="71" spans="1:17" x14ac:dyDescent="0.35">
      <c r="A71" s="15" t="s">
        <v>72</v>
      </c>
      <c r="B71" s="16">
        <v>0.98</v>
      </c>
      <c r="C71" s="17">
        <f t="shared" si="4"/>
        <v>4.8999999999999997E-7</v>
      </c>
      <c r="D71" s="18">
        <v>50</v>
      </c>
      <c r="E71" s="19">
        <f t="shared" si="5"/>
        <v>50</v>
      </c>
      <c r="F71" s="17">
        <f>Zeta_Hamaker!$B$16</f>
        <v>1.9600000000000001E-20</v>
      </c>
      <c r="G71" s="14" t="s">
        <v>91</v>
      </c>
      <c r="H71" s="14" t="s">
        <v>91</v>
      </c>
      <c r="I71" s="14"/>
      <c r="J71" s="14"/>
      <c r="K71" s="14"/>
      <c r="L71" s="14"/>
      <c r="M71" s="14"/>
      <c r="N71" s="14"/>
      <c r="O71" s="14"/>
      <c r="P71" s="14"/>
      <c r="Q71" s="15" t="s">
        <v>24</v>
      </c>
    </row>
    <row r="72" spans="1:17" x14ac:dyDescent="0.35">
      <c r="A72" s="15" t="s">
        <v>72</v>
      </c>
      <c r="B72" s="16">
        <v>1</v>
      </c>
      <c r="C72" s="17">
        <f t="shared" si="4"/>
        <v>4.9999999999999998E-7</v>
      </c>
      <c r="D72" s="18">
        <v>1</v>
      </c>
      <c r="E72" s="19">
        <f t="shared" si="5"/>
        <v>1</v>
      </c>
      <c r="F72" s="17">
        <f>Zeta_Hamaker!$B$16</f>
        <v>1.9600000000000001E-20</v>
      </c>
      <c r="G72" s="14" t="s">
        <v>91</v>
      </c>
      <c r="H72" s="14" t="s">
        <v>91</v>
      </c>
      <c r="I72" s="14"/>
      <c r="J72" s="14"/>
      <c r="K72" s="14"/>
      <c r="L72" s="14"/>
      <c r="M72" s="14"/>
      <c r="N72" s="14"/>
      <c r="O72" s="14"/>
      <c r="P72" s="14"/>
      <c r="Q72" s="15" t="s">
        <v>24</v>
      </c>
    </row>
    <row r="73" spans="1:17" x14ac:dyDescent="0.35">
      <c r="A73" s="15" t="s">
        <v>72</v>
      </c>
      <c r="B73" s="16">
        <v>1</v>
      </c>
      <c r="C73" s="17">
        <f t="shared" si="4"/>
        <v>4.9999999999999998E-7</v>
      </c>
      <c r="D73" s="18">
        <v>3</v>
      </c>
      <c r="E73" s="19">
        <f t="shared" si="5"/>
        <v>3</v>
      </c>
      <c r="F73" s="17">
        <f>Zeta_Hamaker!$B$16</f>
        <v>1.9600000000000001E-20</v>
      </c>
      <c r="G73" s="14" t="s">
        <v>91</v>
      </c>
      <c r="H73" s="14" t="s">
        <v>91</v>
      </c>
      <c r="I73" s="14"/>
      <c r="J73" s="14"/>
      <c r="K73" s="14"/>
      <c r="L73" s="14"/>
      <c r="M73" s="14"/>
      <c r="N73" s="14"/>
      <c r="O73" s="14"/>
      <c r="P73" s="14"/>
      <c r="Q73" s="15" t="s">
        <v>24</v>
      </c>
    </row>
    <row r="74" spans="1:17" x14ac:dyDescent="0.35">
      <c r="A74" s="5" t="s">
        <v>72</v>
      </c>
      <c r="B74" s="20">
        <v>1</v>
      </c>
      <c r="C74" s="21">
        <f t="shared" si="4"/>
        <v>4.9999999999999998E-7</v>
      </c>
      <c r="D74" s="22">
        <v>6</v>
      </c>
      <c r="E74" s="23">
        <f t="shared" si="5"/>
        <v>6</v>
      </c>
      <c r="F74" s="21">
        <f>Zeta_Hamaker!$B$16</f>
        <v>1.9600000000000001E-20</v>
      </c>
      <c r="G74" s="24">
        <f>Zeta_Hamaker!$B$7</f>
        <v>-6.4000000000000001E-2</v>
      </c>
      <c r="H74" s="24">
        <f>Zeta_Hamaker!$D$7</f>
        <v>-8.3000000000000004E-2</v>
      </c>
      <c r="I74" s="21">
        <f>SQRT(2*Constants!$C$10*Constants!$C$5^2*E74/(Constants!$C$8*Constants!$C$9*Constants!$C$17))</f>
        <v>254290382.91347721</v>
      </c>
      <c r="J74" s="25">
        <f>1/I74*1000000000</f>
        <v>3.9325120696375371</v>
      </c>
      <c r="K74" s="26">
        <f>TANH(Constants!$C$11*Constants!$C$5*G74/(4*Constants!$C$17))</f>
        <v>-0.5601356355893784</v>
      </c>
      <c r="L74" s="26">
        <f>TANH(Constants!$C$11*Constants!$C$5*H74/(4*Constants!$C$17))</f>
        <v>-0.67559304338784509</v>
      </c>
      <c r="M74" s="20">
        <v>37.064329490421301</v>
      </c>
      <c r="N74" s="26">
        <f>(-(F74*C74/(6*M74/1000000000))/(1+14*(M74/1000000000)/Constants!$C$12))/Constants!$C$17</f>
        <v>-1.7584908790282539</v>
      </c>
      <c r="O74" s="26">
        <f>64*PI()*Constants!$C$8*Constants!$C$9*C74*(Constants!$C$17/(Constants!$C$11*Constants!$C$5))^2*K74*L74*EXP(-I74*(M74/1000000000))/Constants!$C$17</f>
        <v>0.34298120749423017</v>
      </c>
      <c r="P74" s="27">
        <f>MAX(-(N74+O74),0)</f>
        <v>1.4155096715340236</v>
      </c>
      <c r="Q74" s="5" t="s">
        <v>24</v>
      </c>
    </row>
    <row r="75" spans="1:17" x14ac:dyDescent="0.35">
      <c r="A75" s="15" t="s">
        <v>72</v>
      </c>
      <c r="B75" s="16">
        <v>1</v>
      </c>
      <c r="C75" s="17">
        <f t="shared" si="4"/>
        <v>4.9999999999999998E-7</v>
      </c>
      <c r="D75" s="18">
        <v>10</v>
      </c>
      <c r="E75" s="19">
        <f t="shared" si="5"/>
        <v>10</v>
      </c>
      <c r="F75" s="17">
        <f>Zeta_Hamaker!$B$16</f>
        <v>1.9600000000000001E-20</v>
      </c>
      <c r="G75" s="14" t="s">
        <v>91</v>
      </c>
      <c r="H75" s="14" t="s">
        <v>91</v>
      </c>
      <c r="I75" s="14"/>
      <c r="J75" s="14"/>
      <c r="K75" s="14"/>
      <c r="L75" s="14"/>
      <c r="M75" s="14"/>
      <c r="N75" s="14"/>
      <c r="O75" s="14"/>
      <c r="P75" s="14"/>
      <c r="Q75" s="15" t="s">
        <v>24</v>
      </c>
    </row>
    <row r="76" spans="1:17" x14ac:dyDescent="0.35">
      <c r="A76" s="5" t="s">
        <v>72</v>
      </c>
      <c r="B76" s="20">
        <v>1</v>
      </c>
      <c r="C76" s="21">
        <f t="shared" si="4"/>
        <v>4.9999999999999998E-7</v>
      </c>
      <c r="D76" s="22">
        <v>20</v>
      </c>
      <c r="E76" s="23">
        <f t="shared" si="5"/>
        <v>20</v>
      </c>
      <c r="F76" s="21">
        <f>Zeta_Hamaker!$B$16</f>
        <v>1.9600000000000001E-20</v>
      </c>
      <c r="G76" s="24">
        <f>Zeta_Hamaker!$B$9</f>
        <v>-0.05</v>
      </c>
      <c r="H76" s="24">
        <f>Zeta_Hamaker!$D$9</f>
        <v>-6.9000000000000006E-2</v>
      </c>
      <c r="I76" s="21">
        <f>SQRT(2*Constants!$C$10*Constants!$C$5^2*E76/(Constants!$C$8*Constants!$C$9*Constants!$C$17))</f>
        <v>464268596.26112574</v>
      </c>
      <c r="J76" s="25">
        <f>1/I76*1000000000</f>
        <v>2.1539255682018057</v>
      </c>
      <c r="K76" s="26">
        <f>TANH(Constants!$C$11*Constants!$C$5*G76/(4*Constants!$C$17))</f>
        <v>-0.45782444461912492</v>
      </c>
      <c r="L76" s="26">
        <f>TANH(Constants!$C$11*Constants!$C$5*H76/(4*Constants!$C$17))</f>
        <v>-0.59313340323756303</v>
      </c>
      <c r="M76" s="20">
        <v>16.076201088586998</v>
      </c>
      <c r="N76" s="26">
        <f>(-(F76*C76/(6*M76/1000000000))/(1+14*(M76/1000000000)/Constants!$C$12))/Constants!$C$17</f>
        <v>-7.7190013069463008</v>
      </c>
      <c r="O76" s="26">
        <f>64*PI()*Constants!$C$8*Constants!$C$9*C76*(Constants!$C$17/(Constants!$C$11*Constants!$C$5))^2*K76*L76*EXP(-I76*(M76/1000000000))/Constants!$C$17</f>
        <v>1.7497674513510026</v>
      </c>
      <c r="P76" s="27">
        <f>MAX(-(N76+O76),0)</f>
        <v>5.9692338555952986</v>
      </c>
      <c r="Q76" s="5" t="s">
        <v>24</v>
      </c>
    </row>
    <row r="77" spans="1:17" x14ac:dyDescent="0.35">
      <c r="A77" s="15" t="s">
        <v>72</v>
      </c>
      <c r="B77" s="16">
        <v>1</v>
      </c>
      <c r="C77" s="17">
        <f t="shared" si="4"/>
        <v>4.9999999999999998E-7</v>
      </c>
      <c r="D77" s="18">
        <v>50</v>
      </c>
      <c r="E77" s="19">
        <f t="shared" si="5"/>
        <v>50</v>
      </c>
      <c r="F77" s="17">
        <f>Zeta_Hamaker!$B$16</f>
        <v>1.9600000000000001E-20</v>
      </c>
      <c r="G77" s="14" t="s">
        <v>91</v>
      </c>
      <c r="H77" s="14" t="s">
        <v>91</v>
      </c>
      <c r="I77" s="14"/>
      <c r="J77" s="14"/>
      <c r="K77" s="14"/>
      <c r="L77" s="14"/>
      <c r="M77" s="14"/>
      <c r="N77" s="14"/>
      <c r="O77" s="14"/>
      <c r="P77" s="14"/>
      <c r="Q77" s="15" t="s">
        <v>24</v>
      </c>
    </row>
    <row r="78" spans="1:17" x14ac:dyDescent="0.35">
      <c r="A78" s="15" t="s">
        <v>72</v>
      </c>
      <c r="B78" s="16">
        <v>1.1000000000000001</v>
      </c>
      <c r="C78" s="17">
        <f t="shared" si="4"/>
        <v>5.5000000000000003E-7</v>
      </c>
      <c r="D78" s="18">
        <v>1</v>
      </c>
      <c r="E78" s="19">
        <f t="shared" si="5"/>
        <v>1</v>
      </c>
      <c r="F78" s="17">
        <f>Zeta_Hamaker!$B$16</f>
        <v>1.9600000000000001E-20</v>
      </c>
      <c r="G78" s="14" t="s">
        <v>91</v>
      </c>
      <c r="H78" s="14" t="s">
        <v>91</v>
      </c>
      <c r="I78" s="14"/>
      <c r="J78" s="14"/>
      <c r="K78" s="14"/>
      <c r="L78" s="14"/>
      <c r="M78" s="14"/>
      <c r="N78" s="14"/>
      <c r="O78" s="14"/>
      <c r="P78" s="14"/>
      <c r="Q78" s="15" t="s">
        <v>92</v>
      </c>
    </row>
    <row r="79" spans="1:17" x14ac:dyDescent="0.35">
      <c r="A79" s="15" t="s">
        <v>72</v>
      </c>
      <c r="B79" s="16">
        <v>1.1000000000000001</v>
      </c>
      <c r="C79" s="17">
        <f t="shared" si="4"/>
        <v>5.5000000000000003E-7</v>
      </c>
      <c r="D79" s="18">
        <v>3</v>
      </c>
      <c r="E79" s="19">
        <f t="shared" si="5"/>
        <v>3</v>
      </c>
      <c r="F79" s="17">
        <f>Zeta_Hamaker!$B$16</f>
        <v>1.9600000000000001E-20</v>
      </c>
      <c r="G79" s="14" t="s">
        <v>91</v>
      </c>
      <c r="H79" s="14" t="s">
        <v>91</v>
      </c>
      <c r="I79" s="14"/>
      <c r="J79" s="14"/>
      <c r="K79" s="14"/>
      <c r="L79" s="14"/>
      <c r="M79" s="14"/>
      <c r="N79" s="14"/>
      <c r="O79" s="14"/>
      <c r="P79" s="14"/>
      <c r="Q79" s="15" t="s">
        <v>92</v>
      </c>
    </row>
    <row r="80" spans="1:17" x14ac:dyDescent="0.35">
      <c r="A80" s="5" t="s">
        <v>72</v>
      </c>
      <c r="B80" s="20">
        <v>1.1000000000000001</v>
      </c>
      <c r="C80" s="21">
        <f t="shared" si="4"/>
        <v>5.5000000000000003E-7</v>
      </c>
      <c r="D80" s="22">
        <v>6</v>
      </c>
      <c r="E80" s="23">
        <f t="shared" si="5"/>
        <v>6</v>
      </c>
      <c r="F80" s="21">
        <f>Zeta_Hamaker!$B$16</f>
        <v>1.9600000000000001E-20</v>
      </c>
      <c r="G80" s="24">
        <f>Zeta_Hamaker!$B$7</f>
        <v>-6.4000000000000001E-2</v>
      </c>
      <c r="H80" s="24">
        <f>Zeta_Hamaker!$D$7</f>
        <v>-8.3000000000000004E-2</v>
      </c>
      <c r="I80" s="21">
        <f>SQRT(2*Constants!$C$10*Constants!$C$5^2*E80/(Constants!$C$8*Constants!$C$9*Constants!$C$17))</f>
        <v>254290382.91347721</v>
      </c>
      <c r="J80" s="25">
        <f>1/I80*1000000000</f>
        <v>3.9325120696375371</v>
      </c>
      <c r="K80" s="26">
        <f>TANH(Constants!$C$11*Constants!$C$5*G80/(4*Constants!$C$17))</f>
        <v>-0.5601356355893784</v>
      </c>
      <c r="L80" s="26">
        <f>TANH(Constants!$C$11*Constants!$C$5*H80/(4*Constants!$C$17))</f>
        <v>-0.67559304338784509</v>
      </c>
      <c r="M80" s="20">
        <v>37.064329490421301</v>
      </c>
      <c r="N80" s="26">
        <f>(-(F80*C80/(6*M80/1000000000))/(1+14*(M80/1000000000)/Constants!$C$12))/Constants!$C$17</f>
        <v>-1.9343399669310795</v>
      </c>
      <c r="O80" s="26">
        <f>64*PI()*Constants!$C$8*Constants!$C$9*C80*(Constants!$C$17/(Constants!$C$11*Constants!$C$5))^2*K80*L80*EXP(-I80*(M80/1000000000))/Constants!$C$17</f>
        <v>0.37727932824365323</v>
      </c>
      <c r="P80" s="27">
        <f>MAX(-(N80+O80),0)</f>
        <v>1.5570606386874262</v>
      </c>
      <c r="Q80" s="5" t="s">
        <v>92</v>
      </c>
    </row>
    <row r="81" spans="1:17" x14ac:dyDescent="0.35">
      <c r="A81" s="15" t="s">
        <v>72</v>
      </c>
      <c r="B81" s="16">
        <v>1.1000000000000001</v>
      </c>
      <c r="C81" s="17">
        <f t="shared" si="4"/>
        <v>5.5000000000000003E-7</v>
      </c>
      <c r="D81" s="18">
        <v>10</v>
      </c>
      <c r="E81" s="19">
        <f t="shared" si="5"/>
        <v>10</v>
      </c>
      <c r="F81" s="17">
        <f>Zeta_Hamaker!$B$16</f>
        <v>1.9600000000000001E-20</v>
      </c>
      <c r="G81" s="14" t="s">
        <v>91</v>
      </c>
      <c r="H81" s="14" t="s">
        <v>91</v>
      </c>
      <c r="I81" s="14"/>
      <c r="J81" s="14"/>
      <c r="K81" s="14"/>
      <c r="L81" s="14"/>
      <c r="M81" s="14"/>
      <c r="N81" s="14"/>
      <c r="O81" s="14"/>
      <c r="P81" s="14"/>
      <c r="Q81" s="15" t="s">
        <v>24</v>
      </c>
    </row>
    <row r="82" spans="1:17" x14ac:dyDescent="0.35">
      <c r="A82" s="5" t="s">
        <v>72</v>
      </c>
      <c r="B82" s="20">
        <v>1.1000000000000001</v>
      </c>
      <c r="C82" s="21">
        <f t="shared" si="4"/>
        <v>5.5000000000000003E-7</v>
      </c>
      <c r="D82" s="22">
        <v>20</v>
      </c>
      <c r="E82" s="23">
        <f t="shared" si="5"/>
        <v>20</v>
      </c>
      <c r="F82" s="21">
        <f>Zeta_Hamaker!$B$16</f>
        <v>1.9600000000000001E-20</v>
      </c>
      <c r="G82" s="24">
        <f>Zeta_Hamaker!$B$9</f>
        <v>-0.05</v>
      </c>
      <c r="H82" s="24">
        <f>Zeta_Hamaker!$D$9</f>
        <v>-6.9000000000000006E-2</v>
      </c>
      <c r="I82" s="21">
        <f>SQRT(2*Constants!$C$10*Constants!$C$5^2*E82/(Constants!$C$8*Constants!$C$9*Constants!$C$17))</f>
        <v>464268596.26112574</v>
      </c>
      <c r="J82" s="25">
        <f>1/I82*1000000000</f>
        <v>2.1539255682018057</v>
      </c>
      <c r="K82" s="26">
        <f>TANH(Constants!$C$11*Constants!$C$5*G82/(4*Constants!$C$17))</f>
        <v>-0.45782444461912492</v>
      </c>
      <c r="L82" s="26">
        <f>TANH(Constants!$C$11*Constants!$C$5*H82/(4*Constants!$C$17))</f>
        <v>-0.59313340323756303</v>
      </c>
      <c r="M82" s="20">
        <v>16.076201088586998</v>
      </c>
      <c r="N82" s="26">
        <f>(-(F82*C82/(6*M82/1000000000))/(1+14*(M82/1000000000)/Constants!$C$12))/Constants!$C$17</f>
        <v>-8.4909014376409324</v>
      </c>
      <c r="O82" s="26">
        <f>64*PI()*Constants!$C$8*Constants!$C$9*C82*(Constants!$C$17/(Constants!$C$11*Constants!$C$5))^2*K82*L82*EXP(-I82*(M82/1000000000))/Constants!$C$17</f>
        <v>1.9247441964861034</v>
      </c>
      <c r="P82" s="27">
        <f>MAX(-(N82+O82),0)</f>
        <v>6.566157241154829</v>
      </c>
      <c r="Q82" s="5" t="s">
        <v>92</v>
      </c>
    </row>
    <row r="83" spans="1:17" x14ac:dyDescent="0.35">
      <c r="A83" s="15" t="s">
        <v>72</v>
      </c>
      <c r="B83" s="16">
        <v>1.1000000000000001</v>
      </c>
      <c r="C83" s="17">
        <f t="shared" si="4"/>
        <v>5.5000000000000003E-7</v>
      </c>
      <c r="D83" s="18">
        <v>50</v>
      </c>
      <c r="E83" s="19">
        <f t="shared" si="5"/>
        <v>50</v>
      </c>
      <c r="F83" s="17">
        <f>Zeta_Hamaker!$B$16</f>
        <v>1.9600000000000001E-20</v>
      </c>
      <c r="G83" s="14" t="s">
        <v>91</v>
      </c>
      <c r="H83" s="14" t="s">
        <v>91</v>
      </c>
      <c r="I83" s="14"/>
      <c r="J83" s="14"/>
      <c r="K83" s="14"/>
      <c r="L83" s="14"/>
      <c r="M83" s="14"/>
      <c r="N83" s="14"/>
      <c r="O83" s="14"/>
      <c r="P83" s="14"/>
      <c r="Q83" s="15" t="s">
        <v>24</v>
      </c>
    </row>
    <row r="84" spans="1:17" x14ac:dyDescent="0.35">
      <c r="A84" s="15" t="s">
        <v>72</v>
      </c>
      <c r="B84" s="16">
        <v>2</v>
      </c>
      <c r="C84" s="17">
        <f t="shared" si="4"/>
        <v>9.9999999999999995E-7</v>
      </c>
      <c r="D84" s="18">
        <v>1</v>
      </c>
      <c r="E84" s="19">
        <f t="shared" si="5"/>
        <v>1</v>
      </c>
      <c r="F84" s="17">
        <f>Zeta_Hamaker!$B$16</f>
        <v>1.9600000000000001E-20</v>
      </c>
      <c r="G84" s="14" t="s">
        <v>91</v>
      </c>
      <c r="H84" s="14" t="s">
        <v>91</v>
      </c>
      <c r="I84" s="14"/>
      <c r="J84" s="14"/>
      <c r="K84" s="14"/>
      <c r="L84" s="14"/>
      <c r="M84" s="14"/>
      <c r="N84" s="14"/>
      <c r="O84" s="14"/>
      <c r="P84" s="14"/>
      <c r="Q84" s="15" t="s">
        <v>24</v>
      </c>
    </row>
    <row r="85" spans="1:17" x14ac:dyDescent="0.35">
      <c r="A85" s="15" t="s">
        <v>72</v>
      </c>
      <c r="B85" s="16">
        <v>2</v>
      </c>
      <c r="C85" s="17">
        <f t="shared" si="4"/>
        <v>9.9999999999999995E-7</v>
      </c>
      <c r="D85" s="18">
        <v>3</v>
      </c>
      <c r="E85" s="19">
        <f t="shared" si="5"/>
        <v>3</v>
      </c>
      <c r="F85" s="17">
        <f>Zeta_Hamaker!$B$16</f>
        <v>1.9600000000000001E-20</v>
      </c>
      <c r="G85" s="14" t="s">
        <v>91</v>
      </c>
      <c r="H85" s="14" t="s">
        <v>91</v>
      </c>
      <c r="I85" s="14"/>
      <c r="J85" s="14"/>
      <c r="K85" s="14"/>
      <c r="L85" s="14"/>
      <c r="M85" s="14"/>
      <c r="N85" s="14"/>
      <c r="O85" s="14"/>
      <c r="P85" s="14"/>
      <c r="Q85" s="15" t="s">
        <v>24</v>
      </c>
    </row>
    <row r="86" spans="1:17" x14ac:dyDescent="0.35">
      <c r="A86" s="5" t="s">
        <v>72</v>
      </c>
      <c r="B86" s="20">
        <v>2</v>
      </c>
      <c r="C86" s="21">
        <f t="shared" si="4"/>
        <v>9.9999999999999995E-7</v>
      </c>
      <c r="D86" s="22">
        <v>6</v>
      </c>
      <c r="E86" s="23">
        <f t="shared" si="5"/>
        <v>6</v>
      </c>
      <c r="F86" s="21">
        <f>Zeta_Hamaker!$B$16</f>
        <v>1.9600000000000001E-20</v>
      </c>
      <c r="G86" s="24">
        <f>Zeta_Hamaker!$B$7</f>
        <v>-6.4000000000000001E-2</v>
      </c>
      <c r="H86" s="24">
        <f>Zeta_Hamaker!$D$7</f>
        <v>-8.3000000000000004E-2</v>
      </c>
      <c r="I86" s="21">
        <f>SQRT(2*Constants!$C$10*Constants!$C$5^2*E86/(Constants!$C$8*Constants!$C$9*Constants!$C$17))</f>
        <v>254290382.91347721</v>
      </c>
      <c r="J86" s="25">
        <f>1/I86*1000000000</f>
        <v>3.9325120696375371</v>
      </c>
      <c r="K86" s="26">
        <f>TANH(Constants!$C$11*Constants!$C$5*G86/(4*Constants!$C$17))</f>
        <v>-0.5601356355893784</v>
      </c>
      <c r="L86" s="26">
        <f>TANH(Constants!$C$11*Constants!$C$5*H86/(4*Constants!$C$17))</f>
        <v>-0.67559304338784509</v>
      </c>
      <c r="M86" s="20">
        <v>37.064329490421301</v>
      </c>
      <c r="N86" s="26">
        <f>(-(F86*C86/(6*M86/1000000000))/(1+14*(M86/1000000000)/Constants!$C$12))/Constants!$C$17</f>
        <v>-3.5169817580565077</v>
      </c>
      <c r="O86" s="26">
        <f>64*PI()*Constants!$C$8*Constants!$C$9*C86*(Constants!$C$17/(Constants!$C$11*Constants!$C$5))^2*K86*L86*EXP(-I86*(M86/1000000000))/Constants!$C$17</f>
        <v>0.68596241498846033</v>
      </c>
      <c r="P86" s="27">
        <f>MAX(-(N86+O86),0)</f>
        <v>2.8310193430680473</v>
      </c>
      <c r="Q86" s="5" t="s">
        <v>24</v>
      </c>
    </row>
    <row r="87" spans="1:17" x14ac:dyDescent="0.35">
      <c r="A87" s="15" t="s">
        <v>72</v>
      </c>
      <c r="B87" s="16">
        <v>2</v>
      </c>
      <c r="C87" s="17">
        <f t="shared" si="4"/>
        <v>9.9999999999999995E-7</v>
      </c>
      <c r="D87" s="18">
        <v>10</v>
      </c>
      <c r="E87" s="19">
        <f t="shared" si="5"/>
        <v>10</v>
      </c>
      <c r="F87" s="17">
        <f>Zeta_Hamaker!$B$16</f>
        <v>1.9600000000000001E-20</v>
      </c>
      <c r="G87" s="14" t="s">
        <v>91</v>
      </c>
      <c r="H87" s="14" t="s">
        <v>91</v>
      </c>
      <c r="I87" s="14"/>
      <c r="J87" s="14"/>
      <c r="K87" s="14"/>
      <c r="L87" s="14"/>
      <c r="M87" s="14"/>
      <c r="N87" s="14"/>
      <c r="O87" s="14"/>
      <c r="P87" s="14"/>
      <c r="Q87" s="15" t="s">
        <v>24</v>
      </c>
    </row>
    <row r="88" spans="1:17" x14ac:dyDescent="0.35">
      <c r="A88" s="5" t="s">
        <v>72</v>
      </c>
      <c r="B88" s="20">
        <v>2</v>
      </c>
      <c r="C88" s="21">
        <f t="shared" si="4"/>
        <v>9.9999999999999995E-7</v>
      </c>
      <c r="D88" s="22">
        <v>20</v>
      </c>
      <c r="E88" s="23">
        <f t="shared" si="5"/>
        <v>20</v>
      </c>
      <c r="F88" s="21">
        <f>Zeta_Hamaker!$B$16</f>
        <v>1.9600000000000001E-20</v>
      </c>
      <c r="G88" s="24">
        <f>Zeta_Hamaker!$B$9</f>
        <v>-0.05</v>
      </c>
      <c r="H88" s="24">
        <f>Zeta_Hamaker!$D$9</f>
        <v>-6.9000000000000006E-2</v>
      </c>
      <c r="I88" s="21">
        <f>SQRT(2*Constants!$C$10*Constants!$C$5^2*E88/(Constants!$C$8*Constants!$C$9*Constants!$C$17))</f>
        <v>464268596.26112574</v>
      </c>
      <c r="J88" s="25">
        <f>1/I88*1000000000</f>
        <v>2.1539255682018057</v>
      </c>
      <c r="K88" s="26">
        <f>TANH(Constants!$C$11*Constants!$C$5*G88/(4*Constants!$C$17))</f>
        <v>-0.45782444461912492</v>
      </c>
      <c r="L88" s="26">
        <f>TANH(Constants!$C$11*Constants!$C$5*H88/(4*Constants!$C$17))</f>
        <v>-0.59313340323756303</v>
      </c>
      <c r="M88" s="20">
        <v>16.076201088586998</v>
      </c>
      <c r="N88" s="26">
        <f>(-(F88*C88/(6*M88/1000000000))/(1+14*(M88/1000000000)/Constants!$C$12))/Constants!$C$17</f>
        <v>-15.438002613892602</v>
      </c>
      <c r="O88" s="26">
        <f>64*PI()*Constants!$C$8*Constants!$C$9*C88*(Constants!$C$17/(Constants!$C$11*Constants!$C$5))^2*K88*L88*EXP(-I88*(M88/1000000000))/Constants!$C$17</f>
        <v>3.4995349027020053</v>
      </c>
      <c r="P88" s="27">
        <f>MAX(-(N88+O88),0)</f>
        <v>11.938467711190597</v>
      </c>
      <c r="Q88" s="5" t="s">
        <v>24</v>
      </c>
    </row>
    <row r="89" spans="1:17" x14ac:dyDescent="0.35">
      <c r="A89" s="15" t="s">
        <v>72</v>
      </c>
      <c r="B89" s="16">
        <v>2</v>
      </c>
      <c r="C89" s="17">
        <f t="shared" si="4"/>
        <v>9.9999999999999995E-7</v>
      </c>
      <c r="D89" s="18">
        <v>50</v>
      </c>
      <c r="E89" s="19">
        <f t="shared" si="5"/>
        <v>50</v>
      </c>
      <c r="F89" s="17">
        <f>Zeta_Hamaker!$B$16</f>
        <v>1.9600000000000001E-20</v>
      </c>
      <c r="G89" s="14" t="s">
        <v>91</v>
      </c>
      <c r="H89" s="14" t="s">
        <v>91</v>
      </c>
      <c r="I89" s="14"/>
      <c r="J89" s="14"/>
      <c r="K89" s="14"/>
      <c r="L89" s="14"/>
      <c r="M89" s="14"/>
      <c r="N89" s="14"/>
      <c r="O89" s="14"/>
      <c r="P89" s="14"/>
      <c r="Q89" s="15" t="s">
        <v>24</v>
      </c>
    </row>
    <row r="91" spans="1:17" x14ac:dyDescent="0.35">
      <c r="A91" s="2" t="s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2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3" customWidth="1"/>
    <col min="3" max="3" width="9" customWidth="1"/>
    <col min="4" max="4" width="12" customWidth="1"/>
    <col min="5" max="6" width="14" customWidth="1"/>
    <col min="7" max="7" width="20" customWidth="1"/>
    <col min="8" max="8" width="14" customWidth="1"/>
    <col min="9" max="10" width="16" customWidth="1"/>
    <col min="11" max="11" width="14" customWidth="1"/>
  </cols>
  <sheetData>
    <row r="1" spans="1:11" ht="15.5" x14ac:dyDescent="0.35">
      <c r="A1" s="1" t="s">
        <v>94</v>
      </c>
    </row>
    <row r="2" spans="1:11" x14ac:dyDescent="0.35">
      <c r="A2" s="9" t="s">
        <v>95</v>
      </c>
    </row>
    <row r="3" spans="1:11" x14ac:dyDescent="0.35">
      <c r="A3" s="2" t="s">
        <v>96</v>
      </c>
    </row>
    <row r="5" spans="1:11" ht="30" customHeight="1" x14ac:dyDescent="0.35">
      <c r="A5" s="3" t="s">
        <v>67</v>
      </c>
      <c r="B5" s="3" t="s">
        <v>77</v>
      </c>
      <c r="C5" s="3" t="s">
        <v>79</v>
      </c>
      <c r="D5" s="3" t="s">
        <v>89</v>
      </c>
      <c r="E5" s="3" t="s">
        <v>97</v>
      </c>
      <c r="F5" s="3" t="s">
        <v>98</v>
      </c>
      <c r="G5" s="3" t="s">
        <v>99</v>
      </c>
      <c r="H5" s="3" t="s">
        <v>100</v>
      </c>
      <c r="I5" s="3" t="s">
        <v>101</v>
      </c>
      <c r="J5" s="3" t="s">
        <v>102</v>
      </c>
      <c r="K5" s="3" t="s">
        <v>90</v>
      </c>
    </row>
    <row r="6" spans="1:11" x14ac:dyDescent="0.35">
      <c r="A6" s="15" t="s">
        <v>70</v>
      </c>
      <c r="B6" s="28">
        <v>0.1</v>
      </c>
      <c r="C6" s="19">
        <v>1</v>
      </c>
      <c r="D6" s="14"/>
      <c r="E6" s="14"/>
      <c r="F6" s="14"/>
      <c r="G6" s="14"/>
      <c r="H6" s="14"/>
      <c r="I6" s="14"/>
      <c r="J6" s="14"/>
      <c r="K6" s="15" t="s">
        <v>24</v>
      </c>
    </row>
    <row r="7" spans="1:11" x14ac:dyDescent="0.35">
      <c r="A7" s="15" t="s">
        <v>70</v>
      </c>
      <c r="B7" s="28">
        <v>0.1</v>
      </c>
      <c r="C7" s="19">
        <v>3</v>
      </c>
      <c r="D7" s="14"/>
      <c r="E7" s="14"/>
      <c r="F7" s="14"/>
      <c r="G7" s="14"/>
      <c r="H7" s="14"/>
      <c r="I7" s="14"/>
      <c r="J7" s="14"/>
      <c r="K7" s="15" t="s">
        <v>24</v>
      </c>
    </row>
    <row r="8" spans="1:11" x14ac:dyDescent="0.35">
      <c r="A8" s="5" t="s">
        <v>70</v>
      </c>
      <c r="B8" s="25">
        <v>0.1</v>
      </c>
      <c r="C8" s="23">
        <v>6</v>
      </c>
      <c r="D8" s="24">
        <f>Usec_grid!P8</f>
        <v>4.2394535779945453E-2</v>
      </c>
      <c r="E8" s="21">
        <f>Constants!$C$17/(6*PI()*Constants!$C$13*Usec_grid!C8)</f>
        <v>4.2962200455589906E-12</v>
      </c>
      <c r="F8" s="21">
        <f>Usec_grid!I8^2</f>
        <v>6.4663598842282864E+16</v>
      </c>
      <c r="G8" s="21">
        <f>E8*F8</f>
        <v>277809.0495642008</v>
      </c>
      <c r="H8" s="21">
        <f>EXP(-D8)</f>
        <v>0.95849154675403381</v>
      </c>
      <c r="I8" s="21">
        <f>G8*H8</f>
        <v>266277.62561905885</v>
      </c>
      <c r="J8" s="21">
        <f>Constants!$C$19*I8/$I$40</f>
        <v>1.2450803963445349E-3</v>
      </c>
      <c r="K8" s="5" t="s">
        <v>24</v>
      </c>
    </row>
    <row r="9" spans="1:11" x14ac:dyDescent="0.35">
      <c r="A9" s="15" t="s">
        <v>70</v>
      </c>
      <c r="B9" s="28">
        <v>0.1</v>
      </c>
      <c r="C9" s="19">
        <v>10</v>
      </c>
      <c r="D9" s="14"/>
      <c r="E9" s="14"/>
      <c r="F9" s="14"/>
      <c r="G9" s="14"/>
      <c r="H9" s="14"/>
      <c r="I9" s="14"/>
      <c r="J9" s="14"/>
      <c r="K9" s="15" t="s">
        <v>24</v>
      </c>
    </row>
    <row r="10" spans="1:11" x14ac:dyDescent="0.35">
      <c r="A10" s="5" t="s">
        <v>70</v>
      </c>
      <c r="B10" s="25">
        <v>0.1</v>
      </c>
      <c r="C10" s="23">
        <v>20</v>
      </c>
      <c r="D10" s="24">
        <f>Usec_grid!P10</f>
        <v>0.17760487091920818</v>
      </c>
      <c r="E10" s="21">
        <f>Constants!$C$17/(6*PI()*Constants!$C$13*Usec_grid!C10)</f>
        <v>4.2962200455589906E-12</v>
      </c>
      <c r="F10" s="21">
        <f>Usec_grid!I10^2</f>
        <v>2.1554532947427619E+17</v>
      </c>
      <c r="G10" s="21">
        <f>E10*F10</f>
        <v>926030.16521400248</v>
      </c>
      <c r="H10" s="21">
        <f>EXP(-D10)</f>
        <v>0.83727318912249382</v>
      </c>
      <c r="I10" s="21">
        <f>G10*H10</f>
        <v>775340.22965235775</v>
      </c>
      <c r="J10" s="21">
        <f>Constants!$C$19*I10/$I$40</f>
        <v>3.6253925510755509E-3</v>
      </c>
      <c r="K10" s="5" t="s">
        <v>92</v>
      </c>
    </row>
    <row r="11" spans="1:11" x14ac:dyDescent="0.35">
      <c r="A11" s="5" t="s">
        <v>70</v>
      </c>
      <c r="B11" s="25">
        <v>0.1</v>
      </c>
      <c r="C11" s="23">
        <v>50</v>
      </c>
      <c r="D11" s="24">
        <f>Usec_grid!P11</f>
        <v>0.52490419353034845</v>
      </c>
      <c r="E11" s="21">
        <f>Constants!$C$17/(6*PI()*Constants!$C$13*Usec_grid!C11)</f>
        <v>4.2962200455589906E-12</v>
      </c>
      <c r="F11" s="21">
        <f>Usec_grid!I11^2</f>
        <v>5.388633236856905E+17</v>
      </c>
      <c r="G11" s="21">
        <f>E11*F11</f>
        <v>2315075.4130350063</v>
      </c>
      <c r="H11" s="21">
        <f>EXP(-D11)</f>
        <v>0.59161204191287298</v>
      </c>
      <c r="I11" s="21">
        <f>G11*H11</f>
        <v>1369626.4922879278</v>
      </c>
      <c r="J11" s="21">
        <f>Constants!$C$19*I11/$I$40</f>
        <v>6.4041997216148045E-3</v>
      </c>
      <c r="K11" s="5" t="s">
        <v>92</v>
      </c>
    </row>
    <row r="12" spans="1:11" x14ac:dyDescent="0.35">
      <c r="A12" s="15" t="s">
        <v>70</v>
      </c>
      <c r="B12" s="28">
        <v>0.2</v>
      </c>
      <c r="C12" s="19">
        <v>1</v>
      </c>
      <c r="D12" s="14"/>
      <c r="E12" s="14"/>
      <c r="F12" s="14"/>
      <c r="G12" s="14"/>
      <c r="H12" s="14"/>
      <c r="I12" s="14"/>
      <c r="J12" s="14"/>
      <c r="K12" s="15" t="s">
        <v>24</v>
      </c>
    </row>
    <row r="13" spans="1:11" x14ac:dyDescent="0.35">
      <c r="A13" s="15" t="s">
        <v>70</v>
      </c>
      <c r="B13" s="28">
        <v>0.2</v>
      </c>
      <c r="C13" s="19">
        <v>3</v>
      </c>
      <c r="D13" s="14"/>
      <c r="E13" s="14"/>
      <c r="F13" s="14"/>
      <c r="G13" s="14"/>
      <c r="H13" s="14"/>
      <c r="I13" s="14"/>
      <c r="J13" s="14"/>
      <c r="K13" s="15" t="s">
        <v>24</v>
      </c>
    </row>
    <row r="14" spans="1:11" x14ac:dyDescent="0.35">
      <c r="A14" s="5" t="s">
        <v>70</v>
      </c>
      <c r="B14" s="25">
        <v>0.2</v>
      </c>
      <c r="C14" s="23">
        <v>6</v>
      </c>
      <c r="D14" s="24">
        <f>Usec_grid!P14</f>
        <v>8.4789071559890905E-2</v>
      </c>
      <c r="E14" s="21">
        <f>Constants!$C$17/(6*PI()*Constants!$C$13*Usec_grid!C14)</f>
        <v>2.1481100227794953E-12</v>
      </c>
      <c r="F14" s="21">
        <f>Usec_grid!I14^2</f>
        <v>6.4663598842282864E+16</v>
      </c>
      <c r="G14" s="21">
        <f>E14*F14</f>
        <v>138904.5247821004</v>
      </c>
      <c r="H14" s="21">
        <f>EXP(-D14)</f>
        <v>0.91870604519894017</v>
      </c>
      <c r="I14" s="21">
        <f>G14*H14</f>
        <v>127612.42662280163</v>
      </c>
      <c r="J14" s="21">
        <f>Constants!$C$19*I14/$I$40</f>
        <v>5.9669951746269933E-4</v>
      </c>
      <c r="K14" s="5" t="s">
        <v>24</v>
      </c>
    </row>
    <row r="15" spans="1:11" x14ac:dyDescent="0.35">
      <c r="A15" s="15" t="s">
        <v>70</v>
      </c>
      <c r="B15" s="28">
        <v>0.2</v>
      </c>
      <c r="C15" s="19">
        <v>10</v>
      </c>
      <c r="D15" s="14"/>
      <c r="E15" s="14"/>
      <c r="F15" s="14"/>
      <c r="G15" s="14"/>
      <c r="H15" s="14"/>
      <c r="I15" s="14"/>
      <c r="J15" s="14"/>
      <c r="K15" s="15" t="s">
        <v>24</v>
      </c>
    </row>
    <row r="16" spans="1:11" x14ac:dyDescent="0.35">
      <c r="A16" s="5" t="s">
        <v>70</v>
      </c>
      <c r="B16" s="25">
        <v>0.2</v>
      </c>
      <c r="C16" s="23">
        <v>20</v>
      </c>
      <c r="D16" s="24">
        <f>Usec_grid!P16</f>
        <v>0.35520974183841636</v>
      </c>
      <c r="E16" s="21">
        <f>Constants!$C$17/(6*PI()*Constants!$C$13*Usec_grid!C16)</f>
        <v>2.1481100227794953E-12</v>
      </c>
      <c r="F16" s="21">
        <f>Usec_grid!I16^2</f>
        <v>2.1554532947427619E+17</v>
      </c>
      <c r="G16" s="21">
        <f>E16*F16</f>
        <v>463015.08260700124</v>
      </c>
      <c r="H16" s="21">
        <f>EXP(-D16)</f>
        <v>0.70102639322335125</v>
      </c>
      <c r="I16" s="21">
        <f>G16*H16</f>
        <v>324585.79336799809</v>
      </c>
      <c r="J16" s="21">
        <f>Constants!$C$19*I16/$I$40</f>
        <v>1.5177219915299795E-3</v>
      </c>
      <c r="K16" s="5" t="s">
        <v>92</v>
      </c>
    </row>
    <row r="17" spans="1:11" x14ac:dyDescent="0.35">
      <c r="A17" s="5" t="s">
        <v>70</v>
      </c>
      <c r="B17" s="25">
        <v>0.2</v>
      </c>
      <c r="C17" s="23">
        <v>50</v>
      </c>
      <c r="D17" s="24">
        <f>Usec_grid!P17</f>
        <v>1.0498083870606969</v>
      </c>
      <c r="E17" s="21">
        <f>Constants!$C$17/(6*PI()*Constants!$C$13*Usec_grid!C17)</f>
        <v>2.1481100227794953E-12</v>
      </c>
      <c r="F17" s="21">
        <f>Usec_grid!I17^2</f>
        <v>5.388633236856905E+17</v>
      </c>
      <c r="G17" s="21">
        <f>E17*F17</f>
        <v>1157537.7065175031</v>
      </c>
      <c r="H17" s="21">
        <f>EXP(-D17)</f>
        <v>0.35000480813631896</v>
      </c>
      <c r="I17" s="21">
        <f>G17*H17</f>
        <v>405143.76288021338</v>
      </c>
      <c r="J17" s="21">
        <f>Constants!$C$19*I17/$I$40</f>
        <v>1.8944008370611941E-3</v>
      </c>
      <c r="K17" s="5" t="s">
        <v>92</v>
      </c>
    </row>
    <row r="18" spans="1:11" x14ac:dyDescent="0.35">
      <c r="A18" s="15" t="s">
        <v>70</v>
      </c>
      <c r="B18" s="28">
        <v>0.5</v>
      </c>
      <c r="C18" s="19">
        <v>1</v>
      </c>
      <c r="D18" s="14"/>
      <c r="E18" s="14"/>
      <c r="F18" s="14"/>
      <c r="G18" s="14"/>
      <c r="H18" s="14"/>
      <c r="I18" s="14"/>
      <c r="J18" s="14"/>
      <c r="K18" s="15" t="s">
        <v>24</v>
      </c>
    </row>
    <row r="19" spans="1:11" x14ac:dyDescent="0.35">
      <c r="A19" s="15" t="s">
        <v>70</v>
      </c>
      <c r="B19" s="28">
        <v>0.5</v>
      </c>
      <c r="C19" s="19">
        <v>3</v>
      </c>
      <c r="D19" s="14"/>
      <c r="E19" s="14"/>
      <c r="F19" s="14"/>
      <c r="G19" s="14"/>
      <c r="H19" s="14"/>
      <c r="I19" s="14"/>
      <c r="J19" s="14"/>
      <c r="K19" s="15" t="s">
        <v>24</v>
      </c>
    </row>
    <row r="20" spans="1:11" x14ac:dyDescent="0.35">
      <c r="A20" s="5" t="s">
        <v>70</v>
      </c>
      <c r="B20" s="25">
        <v>0.5</v>
      </c>
      <c r="C20" s="23">
        <v>6</v>
      </c>
      <c r="D20" s="24">
        <f>Usec_grid!P20</f>
        <v>0.21197267889972726</v>
      </c>
      <c r="E20" s="21">
        <f>Constants!$C$17/(6*PI()*Constants!$C$13*Usec_grid!C20)</f>
        <v>8.5924400911179831E-13</v>
      </c>
      <c r="F20" s="21">
        <f>Usec_grid!I20^2</f>
        <v>6.4663598842282864E+16</v>
      </c>
      <c r="G20" s="21">
        <f>E20*F20</f>
        <v>55561.809912840166</v>
      </c>
      <c r="H20" s="21">
        <f>EXP(-D20)</f>
        <v>0.80898679967404474</v>
      </c>
      <c r="I20" s="21">
        <f>G20*H20</f>
        <v>44948.77078548618</v>
      </c>
      <c r="J20" s="21">
        <f>Constants!$C$19*I20/$I$40</f>
        <v>2.1017474981115006E-4</v>
      </c>
      <c r="K20" s="5" t="s">
        <v>24</v>
      </c>
    </row>
    <row r="21" spans="1:11" x14ac:dyDescent="0.35">
      <c r="A21" s="15" t="s">
        <v>70</v>
      </c>
      <c r="B21" s="28">
        <v>0.5</v>
      </c>
      <c r="C21" s="19">
        <v>10</v>
      </c>
      <c r="D21" s="14"/>
      <c r="E21" s="14"/>
      <c r="F21" s="14"/>
      <c r="G21" s="14"/>
      <c r="H21" s="14"/>
      <c r="I21" s="14"/>
      <c r="J21" s="14"/>
      <c r="K21" s="15" t="s">
        <v>24</v>
      </c>
    </row>
    <row r="22" spans="1:11" x14ac:dyDescent="0.35">
      <c r="A22" s="5" t="s">
        <v>70</v>
      </c>
      <c r="B22" s="25">
        <v>0.5</v>
      </c>
      <c r="C22" s="23">
        <v>20</v>
      </c>
      <c r="D22" s="24">
        <f>Usec_grid!P22</f>
        <v>0.88802435459604079</v>
      </c>
      <c r="E22" s="21">
        <f>Constants!$C$17/(6*PI()*Constants!$C$13*Usec_grid!C22)</f>
        <v>8.5924400911179831E-13</v>
      </c>
      <c r="F22" s="21">
        <f>Usec_grid!I22^2</f>
        <v>2.1554532947427619E+17</v>
      </c>
      <c r="G22" s="21">
        <f>E22*F22</f>
        <v>185206.03304280055</v>
      </c>
      <c r="H22" s="21">
        <f>EXP(-D22)</f>
        <v>0.41146786486150677</v>
      </c>
      <c r="I22" s="21">
        <f>G22*H22</f>
        <v>76206.330975590812</v>
      </c>
      <c r="J22" s="21">
        <f>Constants!$C$19*I22/$I$40</f>
        <v>3.5633113580031911E-4</v>
      </c>
      <c r="K22" s="5" t="s">
        <v>92</v>
      </c>
    </row>
    <row r="23" spans="1:11" x14ac:dyDescent="0.35">
      <c r="A23" s="5" t="s">
        <v>70</v>
      </c>
      <c r="B23" s="25">
        <v>0.5</v>
      </c>
      <c r="C23" s="23">
        <v>50</v>
      </c>
      <c r="D23" s="24">
        <f>Usec_grid!P23</f>
        <v>2.6245209676517431</v>
      </c>
      <c r="E23" s="21">
        <f>Constants!$C$17/(6*PI()*Constants!$C$13*Usec_grid!C23)</f>
        <v>8.5924400911179831E-13</v>
      </c>
      <c r="F23" s="21">
        <f>Usec_grid!I23^2</f>
        <v>5.388633236856905E+17</v>
      </c>
      <c r="G23" s="21">
        <f>E23*F23</f>
        <v>463015.08260700136</v>
      </c>
      <c r="H23" s="21">
        <f>EXP(-D23)</f>
        <v>7.2474466333945678E-2</v>
      </c>
      <c r="I23" s="21">
        <f>G23*H23</f>
        <v>33556.771016510196</v>
      </c>
      <c r="J23" s="21">
        <f>Constants!$C$19*I23/$I$40</f>
        <v>1.5690720412631185E-4</v>
      </c>
      <c r="K23" s="5" t="s">
        <v>92</v>
      </c>
    </row>
    <row r="24" spans="1:11" x14ac:dyDescent="0.35">
      <c r="A24" s="15" t="s">
        <v>70</v>
      </c>
      <c r="B24" s="28">
        <v>0.98</v>
      </c>
      <c r="C24" s="19">
        <v>1</v>
      </c>
      <c r="D24" s="14"/>
      <c r="E24" s="14"/>
      <c r="F24" s="14"/>
      <c r="G24" s="14"/>
      <c r="H24" s="14"/>
      <c r="I24" s="14"/>
      <c r="J24" s="14"/>
      <c r="K24" s="15" t="s">
        <v>24</v>
      </c>
    </row>
    <row r="25" spans="1:11" x14ac:dyDescent="0.35">
      <c r="A25" s="15" t="s">
        <v>70</v>
      </c>
      <c r="B25" s="28">
        <v>0.98</v>
      </c>
      <c r="C25" s="19">
        <v>3</v>
      </c>
      <c r="D25" s="14"/>
      <c r="E25" s="14"/>
      <c r="F25" s="14"/>
      <c r="G25" s="14"/>
      <c r="H25" s="14"/>
      <c r="I25" s="14"/>
      <c r="J25" s="14"/>
      <c r="K25" s="15" t="s">
        <v>24</v>
      </c>
    </row>
    <row r="26" spans="1:11" x14ac:dyDescent="0.35">
      <c r="A26" s="5" t="s">
        <v>70</v>
      </c>
      <c r="B26" s="25">
        <v>0.98</v>
      </c>
      <c r="C26" s="23">
        <v>6</v>
      </c>
      <c r="D26" s="24">
        <f>Usec_grid!P26</f>
        <v>0.41546645064346543</v>
      </c>
      <c r="E26" s="21">
        <f>Constants!$C$17/(6*PI()*Constants!$C$13*Usec_grid!C26)</f>
        <v>4.38389800567244E-13</v>
      </c>
      <c r="F26" s="21">
        <f>Usec_grid!I26^2</f>
        <v>6.4663598842282864E+16</v>
      </c>
      <c r="G26" s="21">
        <f>E26*F26</f>
        <v>28347.862200428655</v>
      </c>
      <c r="H26" s="21">
        <f>EXP(-D26)</f>
        <v>0.6600323363821391</v>
      </c>
      <c r="I26" s="21">
        <f>G26*H26</f>
        <v>18710.505719587851</v>
      </c>
      <c r="J26" s="21">
        <f>Constants!$C$19*I26/$I$40</f>
        <v>8.7487951054809556E-5</v>
      </c>
      <c r="K26" s="5" t="s">
        <v>24</v>
      </c>
    </row>
    <row r="27" spans="1:11" x14ac:dyDescent="0.35">
      <c r="A27" s="15" t="s">
        <v>70</v>
      </c>
      <c r="B27" s="28">
        <v>0.98</v>
      </c>
      <c r="C27" s="19">
        <v>10</v>
      </c>
      <c r="D27" s="14"/>
      <c r="E27" s="14"/>
      <c r="F27" s="14"/>
      <c r="G27" s="14"/>
      <c r="H27" s="14"/>
      <c r="I27" s="14"/>
      <c r="J27" s="14"/>
      <c r="K27" s="15" t="s">
        <v>92</v>
      </c>
    </row>
    <row r="28" spans="1:11" x14ac:dyDescent="0.35">
      <c r="A28" s="5" t="s">
        <v>70</v>
      </c>
      <c r="B28" s="25">
        <v>0.98</v>
      </c>
      <c r="C28" s="23">
        <v>20</v>
      </c>
      <c r="D28" s="24">
        <f>Usec_grid!P28</f>
        <v>1.7405277350082407</v>
      </c>
      <c r="E28" s="21">
        <f>Constants!$C$17/(6*PI()*Constants!$C$13*Usec_grid!C28)</f>
        <v>4.38389800567244E-13</v>
      </c>
      <c r="F28" s="21">
        <f>Usec_grid!I28^2</f>
        <v>2.1554532947427619E+17</v>
      </c>
      <c r="G28" s="21">
        <f>E28*F28</f>
        <v>94492.874001428834</v>
      </c>
      <c r="H28" s="21">
        <f>EXP(-D28)</f>
        <v>0.17542779679421966</v>
      </c>
      <c r="I28" s="21">
        <f>G28*H28</f>
        <v>16576.67669882446</v>
      </c>
      <c r="J28" s="21">
        <f>Constants!$C$19*I28/$I$40</f>
        <v>7.7510437259848821E-5</v>
      </c>
      <c r="K28" s="5" t="s">
        <v>24</v>
      </c>
    </row>
    <row r="29" spans="1:11" x14ac:dyDescent="0.35">
      <c r="A29" s="5" t="s">
        <v>70</v>
      </c>
      <c r="B29" s="25">
        <v>0.98</v>
      </c>
      <c r="C29" s="23">
        <v>50</v>
      </c>
      <c r="D29" s="24">
        <f>Usec_grid!P29</f>
        <v>5.1440610965974169</v>
      </c>
      <c r="E29" s="21">
        <f>Constants!$C$17/(6*PI()*Constants!$C$13*Usec_grid!C29)</f>
        <v>4.38389800567244E-13</v>
      </c>
      <c r="F29" s="21">
        <f>Usec_grid!I29^2</f>
        <v>5.388633236856905E+17</v>
      </c>
      <c r="G29" s="21">
        <f>E29*F29</f>
        <v>236232.18500357211</v>
      </c>
      <c r="H29" s="21">
        <f>EXP(-D29)</f>
        <v>5.8339493082394693E-3</v>
      </c>
      <c r="I29" s="21">
        <f>G29*H29</f>
        <v>1378.1665922854879</v>
      </c>
      <c r="J29" s="21">
        <f>Constants!$C$19*I29/$I$40</f>
        <v>6.4441321457719747E-6</v>
      </c>
      <c r="K29" s="5" t="s">
        <v>24</v>
      </c>
    </row>
    <row r="30" spans="1:11" x14ac:dyDescent="0.35">
      <c r="A30" s="15" t="s">
        <v>70</v>
      </c>
      <c r="B30" s="28">
        <v>1</v>
      </c>
      <c r="C30" s="19">
        <v>1</v>
      </c>
      <c r="D30" s="14"/>
      <c r="E30" s="14"/>
      <c r="F30" s="14"/>
      <c r="G30" s="14"/>
      <c r="H30" s="14"/>
      <c r="I30" s="14"/>
      <c r="J30" s="14"/>
      <c r="K30" s="15" t="s">
        <v>24</v>
      </c>
    </row>
    <row r="31" spans="1:11" x14ac:dyDescent="0.35">
      <c r="A31" s="15" t="s">
        <v>70</v>
      </c>
      <c r="B31" s="28">
        <v>1</v>
      </c>
      <c r="C31" s="19">
        <v>3</v>
      </c>
      <c r="D31" s="14"/>
      <c r="E31" s="14"/>
      <c r="F31" s="14"/>
      <c r="G31" s="14"/>
      <c r="H31" s="14"/>
      <c r="I31" s="14"/>
      <c r="J31" s="14"/>
      <c r="K31" s="15" t="s">
        <v>24</v>
      </c>
    </row>
    <row r="32" spans="1:11" x14ac:dyDescent="0.35">
      <c r="A32" s="5" t="s">
        <v>70</v>
      </c>
      <c r="B32" s="25">
        <v>1</v>
      </c>
      <c r="C32" s="23">
        <v>6</v>
      </c>
      <c r="D32" s="24">
        <f>Usec_grid!P32</f>
        <v>0.42394535779945453</v>
      </c>
      <c r="E32" s="21">
        <f>Constants!$C$17/(6*PI()*Constants!$C$13*Usec_grid!C32)</f>
        <v>4.2962200455589916E-13</v>
      </c>
      <c r="F32" s="21">
        <f>Usec_grid!I32^2</f>
        <v>6.4663598842282864E+16</v>
      </c>
      <c r="G32" s="21">
        <f>E32*F32</f>
        <v>27780.904956420083</v>
      </c>
      <c r="H32" s="21">
        <f>EXP(-D32)</f>
        <v>0.65445964204685303</v>
      </c>
      <c r="I32" s="21">
        <f>G32*H32</f>
        <v>18181.481113516333</v>
      </c>
      <c r="J32" s="21">
        <f>Constants!$C$19*I32/$I$40</f>
        <v>8.501429911100766E-5</v>
      </c>
      <c r="K32" s="5" t="s">
        <v>24</v>
      </c>
    </row>
    <row r="33" spans="1:11" x14ac:dyDescent="0.35">
      <c r="A33" s="15" t="s">
        <v>70</v>
      </c>
      <c r="B33" s="28">
        <v>1</v>
      </c>
      <c r="C33" s="19">
        <v>10</v>
      </c>
      <c r="D33" s="14"/>
      <c r="E33" s="14"/>
      <c r="F33" s="14"/>
      <c r="G33" s="14"/>
      <c r="H33" s="14"/>
      <c r="I33" s="14"/>
      <c r="J33" s="14"/>
      <c r="K33" s="15" t="s">
        <v>24</v>
      </c>
    </row>
    <row r="34" spans="1:11" x14ac:dyDescent="0.35">
      <c r="A34" s="5" t="s">
        <v>70</v>
      </c>
      <c r="B34" s="25">
        <v>1</v>
      </c>
      <c r="C34" s="23">
        <v>20</v>
      </c>
      <c r="D34" s="24">
        <f>Usec_grid!P34</f>
        <v>1.7760487091920816</v>
      </c>
      <c r="E34" s="21">
        <f>Constants!$C$17/(6*PI()*Constants!$C$13*Usec_grid!C34)</f>
        <v>4.2962200455589916E-13</v>
      </c>
      <c r="F34" s="21">
        <f>Usec_grid!I34^2</f>
        <v>2.1554532947427619E+17</v>
      </c>
      <c r="G34" s="21">
        <f>E34*F34</f>
        <v>92603.016521400277</v>
      </c>
      <c r="H34" s="21">
        <f>EXP(-D34)</f>
        <v>0.16930580381368721</v>
      </c>
      <c r="I34" s="21">
        <f>G34*H34</f>
        <v>15678.22814772783</v>
      </c>
      <c r="J34" s="21">
        <f>Constants!$C$19*I34/$I$40</f>
        <v>7.3309405815716479E-5</v>
      </c>
      <c r="K34" s="5" t="s">
        <v>92</v>
      </c>
    </row>
    <row r="35" spans="1:11" x14ac:dyDescent="0.35">
      <c r="A35" s="5" t="s">
        <v>70</v>
      </c>
      <c r="B35" s="25">
        <v>1</v>
      </c>
      <c r="C35" s="23">
        <v>50</v>
      </c>
      <c r="D35" s="24">
        <f>Usec_grid!P35</f>
        <v>5.2490419353034863</v>
      </c>
      <c r="E35" s="21">
        <f>Constants!$C$17/(6*PI()*Constants!$C$13*Usec_grid!C35)</f>
        <v>4.2962200455589916E-13</v>
      </c>
      <c r="F35" s="21">
        <f>Usec_grid!I35^2</f>
        <v>5.388633236856905E+17</v>
      </c>
      <c r="G35" s="21">
        <f>E35*F35</f>
        <v>231507.54130350068</v>
      </c>
      <c r="H35" s="21">
        <f>EXP(-D35)</f>
        <v>5.2525482703902242E-3</v>
      </c>
      <c r="I35" s="21">
        <f>G35*H35</f>
        <v>1216.0045356559958</v>
      </c>
      <c r="J35" s="21">
        <f>Constants!$C$19*I35/$I$40</f>
        <v>5.6858829415029638E-6</v>
      </c>
      <c r="K35" s="5" t="s">
        <v>92</v>
      </c>
    </row>
    <row r="36" spans="1:11" x14ac:dyDescent="0.35">
      <c r="A36" s="15" t="s">
        <v>70</v>
      </c>
      <c r="B36" s="28">
        <v>1.1000000000000001</v>
      </c>
      <c r="C36" s="19">
        <v>1</v>
      </c>
      <c r="D36" s="14"/>
      <c r="E36" s="14"/>
      <c r="F36" s="14"/>
      <c r="G36" s="14"/>
      <c r="H36" s="14"/>
      <c r="I36" s="14"/>
      <c r="J36" s="14"/>
      <c r="K36" s="15" t="s">
        <v>24</v>
      </c>
    </row>
    <row r="37" spans="1:11" x14ac:dyDescent="0.35">
      <c r="A37" s="15" t="s">
        <v>70</v>
      </c>
      <c r="B37" s="28">
        <v>1.1000000000000001</v>
      </c>
      <c r="C37" s="19">
        <v>3</v>
      </c>
      <c r="D37" s="14"/>
      <c r="E37" s="14"/>
      <c r="F37" s="14"/>
      <c r="G37" s="14"/>
      <c r="H37" s="14"/>
      <c r="I37" s="14"/>
      <c r="J37" s="14"/>
      <c r="K37" s="15" t="s">
        <v>24</v>
      </c>
    </row>
    <row r="38" spans="1:11" x14ac:dyDescent="0.35">
      <c r="A38" s="5" t="s">
        <v>70</v>
      </c>
      <c r="B38" s="25">
        <v>1.1000000000000001</v>
      </c>
      <c r="C38" s="23">
        <v>6</v>
      </c>
      <c r="D38" s="24">
        <f>Usec_grid!P38</f>
        <v>0.46633989357939998</v>
      </c>
      <c r="E38" s="21">
        <f>Constants!$C$17/(6*PI()*Constants!$C$13*Usec_grid!C38)</f>
        <v>3.9056545868718097E-13</v>
      </c>
      <c r="F38" s="21">
        <f>Usec_grid!I38^2</f>
        <v>6.4663598842282864E+16</v>
      </c>
      <c r="G38" s="21">
        <f>E38*F38</f>
        <v>25255.36814220007</v>
      </c>
      <c r="H38" s="21">
        <f>EXP(-D38)</f>
        <v>0.62729403459357946</v>
      </c>
      <c r="I38" s="21">
        <f>G38*H38</f>
        <v>15842.541777066835</v>
      </c>
      <c r="J38" s="21">
        <f>Constants!$C$19*I38/$I$40</f>
        <v>7.4077715501018001E-5</v>
      </c>
      <c r="K38" s="5" t="s">
        <v>92</v>
      </c>
    </row>
    <row r="39" spans="1:11" x14ac:dyDescent="0.35">
      <c r="A39" s="15" t="s">
        <v>70</v>
      </c>
      <c r="B39" s="28">
        <v>1.1000000000000001</v>
      </c>
      <c r="C39" s="19">
        <v>10</v>
      </c>
      <c r="D39" s="14"/>
      <c r="E39" s="14"/>
      <c r="F39" s="14"/>
      <c r="G39" s="14"/>
      <c r="H39" s="14"/>
      <c r="I39" s="14"/>
      <c r="J39" s="14"/>
      <c r="K39" s="15" t="s">
        <v>24</v>
      </c>
    </row>
    <row r="40" spans="1:11" x14ac:dyDescent="0.35">
      <c r="A40" s="5" t="s">
        <v>70</v>
      </c>
      <c r="B40" s="25">
        <v>1.1000000000000001</v>
      </c>
      <c r="C40" s="23">
        <v>20</v>
      </c>
      <c r="D40" s="24">
        <f>Usec_grid!P40</f>
        <v>1.95365358011129</v>
      </c>
      <c r="E40" s="21">
        <f>Constants!$C$17/(6*PI()*Constants!$C$13*Usec_grid!C40)</f>
        <v>3.9056545868718097E-13</v>
      </c>
      <c r="F40" s="21">
        <f>Usec_grid!I40^2</f>
        <v>2.1554532947427619E+17</v>
      </c>
      <c r="G40" s="21">
        <f>E40*F40</f>
        <v>84184.560474000231</v>
      </c>
      <c r="H40" s="21">
        <f>EXP(-D40)</f>
        <v>0.14175521029603314</v>
      </c>
      <c r="I40" s="21">
        <f>G40*H40</f>
        <v>11933.600073671021</v>
      </c>
      <c r="J40" s="21">
        <f>Constants!$C$19*I40/$I$40</f>
        <v>5.5800000000000001E-5</v>
      </c>
      <c r="K40" s="5" t="s">
        <v>92</v>
      </c>
    </row>
    <row r="41" spans="1:11" x14ac:dyDescent="0.35">
      <c r="A41" s="5" t="s">
        <v>70</v>
      </c>
      <c r="B41" s="25">
        <v>1.1000000000000001</v>
      </c>
      <c r="C41" s="23">
        <v>50</v>
      </c>
      <c r="D41" s="24">
        <f>Usec_grid!P41</f>
        <v>5.7739461288338347</v>
      </c>
      <c r="E41" s="21">
        <f>Constants!$C$17/(6*PI()*Constants!$C$13*Usec_grid!C41)</f>
        <v>3.9056545868718097E-13</v>
      </c>
      <c r="F41" s="21">
        <f>Usec_grid!I41^2</f>
        <v>5.388633236856905E+17</v>
      </c>
      <c r="G41" s="21">
        <f>E41*F41</f>
        <v>210461.40118500058</v>
      </c>
      <c r="H41" s="21">
        <f>EXP(-D41)</f>
        <v>3.1074708074914897E-3</v>
      </c>
      <c r="I41" s="21">
        <f>G41*H41</f>
        <v>654.00266028614408</v>
      </c>
      <c r="J41" s="21">
        <f>Constants!$C$19*I41/$I$40</f>
        <v>3.058033470091036E-6</v>
      </c>
      <c r="K41" s="5" t="s">
        <v>92</v>
      </c>
    </row>
    <row r="42" spans="1:11" x14ac:dyDescent="0.35">
      <c r="A42" s="15" t="s">
        <v>70</v>
      </c>
      <c r="B42" s="28">
        <v>2</v>
      </c>
      <c r="C42" s="19">
        <v>1</v>
      </c>
      <c r="D42" s="14"/>
      <c r="E42" s="14"/>
      <c r="F42" s="14"/>
      <c r="G42" s="14"/>
      <c r="H42" s="14"/>
      <c r="I42" s="14"/>
      <c r="J42" s="14"/>
      <c r="K42" s="15" t="s">
        <v>24</v>
      </c>
    </row>
    <row r="43" spans="1:11" x14ac:dyDescent="0.35">
      <c r="A43" s="15" t="s">
        <v>70</v>
      </c>
      <c r="B43" s="28">
        <v>2</v>
      </c>
      <c r="C43" s="19">
        <v>3</v>
      </c>
      <c r="D43" s="14"/>
      <c r="E43" s="14"/>
      <c r="F43" s="14"/>
      <c r="G43" s="14"/>
      <c r="H43" s="14"/>
      <c r="I43" s="14"/>
      <c r="J43" s="14"/>
      <c r="K43" s="15" t="s">
        <v>24</v>
      </c>
    </row>
    <row r="44" spans="1:11" x14ac:dyDescent="0.35">
      <c r="A44" s="5" t="s">
        <v>70</v>
      </c>
      <c r="B44" s="25">
        <v>2</v>
      </c>
      <c r="C44" s="23">
        <v>6</v>
      </c>
      <c r="D44" s="24">
        <f>Usec_grid!P44</f>
        <v>0.84789071559890905</v>
      </c>
      <c r="E44" s="21">
        <f>Constants!$C$17/(6*PI()*Constants!$C$13*Usec_grid!C44)</f>
        <v>2.1481100227794958E-13</v>
      </c>
      <c r="F44" s="21">
        <f>Usec_grid!I44^2</f>
        <v>6.4663598842282864E+16</v>
      </c>
      <c r="G44" s="21">
        <f>E44*F44</f>
        <v>13890.452478210042</v>
      </c>
      <c r="H44" s="21">
        <f>EXP(-D44)</f>
        <v>0.42831742306809495</v>
      </c>
      <c r="I44" s="21">
        <f>G44*H44</f>
        <v>5949.5228107167586</v>
      </c>
      <c r="J44" s="21">
        <f>Constants!$C$19*I44/$I$40</f>
        <v>2.7819213882527085E-5</v>
      </c>
      <c r="K44" s="5" t="s">
        <v>24</v>
      </c>
    </row>
    <row r="45" spans="1:11" x14ac:dyDescent="0.35">
      <c r="A45" s="15" t="s">
        <v>70</v>
      </c>
      <c r="B45" s="28">
        <v>2</v>
      </c>
      <c r="C45" s="19">
        <v>10</v>
      </c>
      <c r="D45" s="14"/>
      <c r="E45" s="14"/>
      <c r="F45" s="14"/>
      <c r="G45" s="14"/>
      <c r="H45" s="14"/>
      <c r="I45" s="14"/>
      <c r="J45" s="14"/>
      <c r="K45" s="15" t="s">
        <v>24</v>
      </c>
    </row>
    <row r="46" spans="1:11" x14ac:dyDescent="0.35">
      <c r="A46" s="5" t="s">
        <v>70</v>
      </c>
      <c r="B46" s="25">
        <v>2</v>
      </c>
      <c r="C46" s="23">
        <v>20</v>
      </c>
      <c r="D46" s="24">
        <f>Usec_grid!P46</f>
        <v>3.5520974183841632</v>
      </c>
      <c r="E46" s="21">
        <f>Constants!$C$17/(6*PI()*Constants!$C$13*Usec_grid!C46)</f>
        <v>2.1481100227794958E-13</v>
      </c>
      <c r="F46" s="21">
        <f>Usec_grid!I46^2</f>
        <v>2.1554532947427619E+17</v>
      </c>
      <c r="G46" s="21">
        <f>E46*F46</f>
        <v>46301.508260700139</v>
      </c>
      <c r="H46" s="21">
        <f>EXP(-D46)</f>
        <v>2.8664455204998742E-2</v>
      </c>
      <c r="I46" s="21">
        <f>G46*H46</f>
        <v>1327.2075094627182</v>
      </c>
      <c r="J46" s="21">
        <f>Constants!$C$19*I46/$I$40</f>
        <v>6.2058539393668373E-6</v>
      </c>
      <c r="K46" s="5" t="s">
        <v>92</v>
      </c>
    </row>
    <row r="47" spans="1:11" x14ac:dyDescent="0.35">
      <c r="A47" s="5" t="s">
        <v>70</v>
      </c>
      <c r="B47" s="25">
        <v>2</v>
      </c>
      <c r="C47" s="23">
        <v>50</v>
      </c>
      <c r="D47" s="24">
        <f>Usec_grid!P47</f>
        <v>10.498083870606973</v>
      </c>
      <c r="E47" s="21">
        <f>Constants!$C$17/(6*PI()*Constants!$C$13*Usec_grid!C47)</f>
        <v>2.1481100227794958E-13</v>
      </c>
      <c r="F47" s="21">
        <f>Usec_grid!I47^2</f>
        <v>5.388633236856905E+17</v>
      </c>
      <c r="G47" s="21">
        <f>E47*F47</f>
        <v>115753.77065175034</v>
      </c>
      <c r="H47" s="21">
        <f>EXP(-D47)</f>
        <v>2.7589263332779339E-5</v>
      </c>
      <c r="I47" s="21">
        <f>G47*H47</f>
        <v>3.1935612602732846</v>
      </c>
      <c r="J47" s="21">
        <f>Constants!$C$19*I47/$I$40</f>
        <v>1.4932687305016338E-8</v>
      </c>
      <c r="K47" s="5" t="s">
        <v>92</v>
      </c>
    </row>
    <row r="48" spans="1:11" x14ac:dyDescent="0.35">
      <c r="A48" s="15" t="s">
        <v>72</v>
      </c>
      <c r="B48" s="28">
        <v>0.1</v>
      </c>
      <c r="C48" s="19">
        <v>1</v>
      </c>
      <c r="D48" s="14"/>
      <c r="E48" s="14"/>
      <c r="F48" s="14"/>
      <c r="G48" s="14"/>
      <c r="H48" s="14"/>
      <c r="I48" s="14"/>
      <c r="J48" s="14"/>
      <c r="K48" s="15" t="s">
        <v>24</v>
      </c>
    </row>
    <row r="49" spans="1:11" x14ac:dyDescent="0.35">
      <c r="A49" s="15" t="s">
        <v>72</v>
      </c>
      <c r="B49" s="28">
        <v>0.1</v>
      </c>
      <c r="C49" s="19">
        <v>3</v>
      </c>
      <c r="D49" s="14"/>
      <c r="E49" s="14"/>
      <c r="F49" s="14"/>
      <c r="G49" s="14"/>
      <c r="H49" s="14"/>
      <c r="I49" s="14"/>
      <c r="J49" s="14"/>
      <c r="K49" s="15" t="s">
        <v>24</v>
      </c>
    </row>
    <row r="50" spans="1:11" x14ac:dyDescent="0.35">
      <c r="A50" s="5" t="s">
        <v>72</v>
      </c>
      <c r="B50" s="25">
        <v>0.1</v>
      </c>
      <c r="C50" s="23">
        <v>6</v>
      </c>
      <c r="D50" s="24">
        <f>Usec_grid!P50</f>
        <v>0.14155096715340237</v>
      </c>
      <c r="E50" s="21">
        <f>Constants!$C$17/(6*PI()*Constants!$C$13*Usec_grid!C50)</f>
        <v>4.2962200455589906E-12</v>
      </c>
      <c r="F50" s="21">
        <f>Usec_grid!I50^2</f>
        <v>6.4663598842282864E+16</v>
      </c>
      <c r="G50" s="21">
        <f>E50*F50</f>
        <v>277809.0495642008</v>
      </c>
      <c r="H50" s="21">
        <f>EXP(-D50)</f>
        <v>0.86801093441102894</v>
      </c>
      <c r="I50" s="21">
        <f>G50*H50</f>
        <v>241141.29270006178</v>
      </c>
      <c r="J50" s="21">
        <f>Constants!$C$19*I50/$I$40</f>
        <v>1.1275460925115619E-3</v>
      </c>
      <c r="K50" s="5" t="s">
        <v>24</v>
      </c>
    </row>
    <row r="51" spans="1:11" x14ac:dyDescent="0.35">
      <c r="A51" s="15" t="s">
        <v>72</v>
      </c>
      <c r="B51" s="28">
        <v>0.1</v>
      </c>
      <c r="C51" s="19">
        <v>10</v>
      </c>
      <c r="D51" s="14"/>
      <c r="E51" s="14"/>
      <c r="F51" s="14"/>
      <c r="G51" s="14"/>
      <c r="H51" s="14"/>
      <c r="I51" s="14"/>
      <c r="J51" s="14"/>
      <c r="K51" s="15" t="s">
        <v>24</v>
      </c>
    </row>
    <row r="52" spans="1:11" x14ac:dyDescent="0.35">
      <c r="A52" s="5" t="s">
        <v>72</v>
      </c>
      <c r="B52" s="25">
        <v>0.1</v>
      </c>
      <c r="C52" s="23">
        <v>20</v>
      </c>
      <c r="D52" s="24">
        <f>Usec_grid!P52</f>
        <v>0.59692338555952984</v>
      </c>
      <c r="E52" s="21">
        <f>Constants!$C$17/(6*PI()*Constants!$C$13*Usec_grid!C52)</f>
        <v>4.2962200455589906E-12</v>
      </c>
      <c r="F52" s="21">
        <f>Usec_grid!I52^2</f>
        <v>2.1554532947427619E+17</v>
      </c>
      <c r="G52" s="21">
        <f>E52*F52</f>
        <v>926030.16521400248</v>
      </c>
      <c r="H52" s="21">
        <f>EXP(-D52)</f>
        <v>0.55050271796826955</v>
      </c>
      <c r="I52" s="21">
        <f>G52*H52</f>
        <v>509782.12287091406</v>
      </c>
      <c r="J52" s="21">
        <f>Constants!$C$19*I52/$I$40</f>
        <v>2.3836765335346517E-3</v>
      </c>
      <c r="K52" s="5" t="s">
        <v>24</v>
      </c>
    </row>
    <row r="53" spans="1:11" x14ac:dyDescent="0.35">
      <c r="A53" s="15" t="s">
        <v>72</v>
      </c>
      <c r="B53" s="28">
        <v>0.1</v>
      </c>
      <c r="C53" s="19">
        <v>50</v>
      </c>
      <c r="D53" s="14"/>
      <c r="E53" s="14"/>
      <c r="F53" s="14"/>
      <c r="G53" s="14"/>
      <c r="H53" s="14"/>
      <c r="I53" s="14"/>
      <c r="J53" s="14"/>
      <c r="K53" s="15" t="s">
        <v>24</v>
      </c>
    </row>
    <row r="54" spans="1:11" x14ac:dyDescent="0.35">
      <c r="A54" s="15" t="s">
        <v>72</v>
      </c>
      <c r="B54" s="28">
        <v>0.2</v>
      </c>
      <c r="C54" s="19">
        <v>1</v>
      </c>
      <c r="D54" s="14"/>
      <c r="E54" s="14"/>
      <c r="F54" s="14"/>
      <c r="G54" s="14"/>
      <c r="H54" s="14"/>
      <c r="I54" s="14"/>
      <c r="J54" s="14"/>
      <c r="K54" s="15" t="s">
        <v>24</v>
      </c>
    </row>
    <row r="55" spans="1:11" x14ac:dyDescent="0.35">
      <c r="A55" s="15" t="s">
        <v>72</v>
      </c>
      <c r="B55" s="28">
        <v>0.2</v>
      </c>
      <c r="C55" s="19">
        <v>3</v>
      </c>
      <c r="D55" s="14"/>
      <c r="E55" s="14"/>
      <c r="F55" s="14"/>
      <c r="G55" s="14"/>
      <c r="H55" s="14"/>
      <c r="I55" s="14"/>
      <c r="J55" s="14"/>
      <c r="K55" s="15" t="s">
        <v>24</v>
      </c>
    </row>
    <row r="56" spans="1:11" x14ac:dyDescent="0.35">
      <c r="A56" s="5" t="s">
        <v>72</v>
      </c>
      <c r="B56" s="25">
        <v>0.2</v>
      </c>
      <c r="C56" s="23">
        <v>6</v>
      </c>
      <c r="D56" s="24">
        <f>Usec_grid!P56</f>
        <v>0.28310193430680475</v>
      </c>
      <c r="E56" s="21">
        <f>Constants!$C$17/(6*PI()*Constants!$C$13*Usec_grid!C56)</f>
        <v>2.1481100227794953E-12</v>
      </c>
      <c r="F56" s="21">
        <f>Usec_grid!I56^2</f>
        <v>6.4663598842282864E+16</v>
      </c>
      <c r="G56" s="21">
        <f>E56*F56</f>
        <v>138904.5247821004</v>
      </c>
      <c r="H56" s="21">
        <f>EXP(-D56)</f>
        <v>0.7534429822571076</v>
      </c>
      <c r="I56" s="21">
        <f>G56*H56</f>
        <v>104656.63940083203</v>
      </c>
      <c r="J56" s="21">
        <f>Constants!$C$19*I56/$I$40</f>
        <v>4.8936116867623271E-4</v>
      </c>
      <c r="K56" s="5" t="s">
        <v>24</v>
      </c>
    </row>
    <row r="57" spans="1:11" x14ac:dyDescent="0.35">
      <c r="A57" s="15" t="s">
        <v>72</v>
      </c>
      <c r="B57" s="28">
        <v>0.2</v>
      </c>
      <c r="C57" s="19">
        <v>10</v>
      </c>
      <c r="D57" s="14"/>
      <c r="E57" s="14"/>
      <c r="F57" s="14"/>
      <c r="G57" s="14"/>
      <c r="H57" s="14"/>
      <c r="I57" s="14"/>
      <c r="J57" s="14"/>
      <c r="K57" s="15" t="s">
        <v>24</v>
      </c>
    </row>
    <row r="58" spans="1:11" x14ac:dyDescent="0.35">
      <c r="A58" s="5" t="s">
        <v>72</v>
      </c>
      <c r="B58" s="25">
        <v>0.2</v>
      </c>
      <c r="C58" s="23">
        <v>20</v>
      </c>
      <c r="D58" s="24">
        <f>Usec_grid!P58</f>
        <v>1.1938467711190597</v>
      </c>
      <c r="E58" s="21">
        <f>Constants!$C$17/(6*PI()*Constants!$C$13*Usec_grid!C58)</f>
        <v>2.1481100227794953E-12</v>
      </c>
      <c r="F58" s="21">
        <f>Usec_grid!I58^2</f>
        <v>2.1554532947427619E+17</v>
      </c>
      <c r="G58" s="21">
        <f>E58*F58</f>
        <v>463015.08260700124</v>
      </c>
      <c r="H58" s="21">
        <f>EXP(-D58)</f>
        <v>0.30305324249045207</v>
      </c>
      <c r="I58" s="21">
        <f>G58*H58</f>
        <v>140318.22210603624</v>
      </c>
      <c r="J58" s="21">
        <f>Constants!$C$19*I58/$I$40</f>
        <v>6.5611020523400428E-4</v>
      </c>
      <c r="K58" s="5" t="s">
        <v>24</v>
      </c>
    </row>
    <row r="59" spans="1:11" x14ac:dyDescent="0.35">
      <c r="A59" s="15" t="s">
        <v>72</v>
      </c>
      <c r="B59" s="28">
        <v>0.2</v>
      </c>
      <c r="C59" s="19">
        <v>50</v>
      </c>
      <c r="D59" s="14"/>
      <c r="E59" s="14"/>
      <c r="F59" s="14"/>
      <c r="G59" s="14"/>
      <c r="H59" s="14"/>
      <c r="I59" s="14"/>
      <c r="J59" s="14"/>
      <c r="K59" s="15" t="s">
        <v>24</v>
      </c>
    </row>
    <row r="60" spans="1:11" x14ac:dyDescent="0.35">
      <c r="A60" s="15" t="s">
        <v>72</v>
      </c>
      <c r="B60" s="28">
        <v>0.5</v>
      </c>
      <c r="C60" s="19">
        <v>1</v>
      </c>
      <c r="D60" s="14"/>
      <c r="E60" s="14"/>
      <c r="F60" s="14"/>
      <c r="G60" s="14"/>
      <c r="H60" s="14"/>
      <c r="I60" s="14"/>
      <c r="J60" s="14"/>
      <c r="K60" s="15" t="s">
        <v>24</v>
      </c>
    </row>
    <row r="61" spans="1:11" x14ac:dyDescent="0.35">
      <c r="A61" s="15" t="s">
        <v>72</v>
      </c>
      <c r="B61" s="28">
        <v>0.5</v>
      </c>
      <c r="C61" s="19">
        <v>3</v>
      </c>
      <c r="D61" s="14"/>
      <c r="E61" s="14"/>
      <c r="F61" s="14"/>
      <c r="G61" s="14"/>
      <c r="H61" s="14"/>
      <c r="I61" s="14"/>
      <c r="J61" s="14"/>
      <c r="K61" s="15" t="s">
        <v>24</v>
      </c>
    </row>
    <row r="62" spans="1:11" x14ac:dyDescent="0.35">
      <c r="A62" s="5" t="s">
        <v>72</v>
      </c>
      <c r="B62" s="25">
        <v>0.5</v>
      </c>
      <c r="C62" s="23">
        <v>6</v>
      </c>
      <c r="D62" s="24">
        <f>Usec_grid!P62</f>
        <v>0.70775483576701181</v>
      </c>
      <c r="E62" s="21">
        <f>Constants!$C$17/(6*PI()*Constants!$C$13*Usec_grid!C62)</f>
        <v>8.5924400911179831E-13</v>
      </c>
      <c r="F62" s="21">
        <f>Usec_grid!I62^2</f>
        <v>6.4663598842282864E+16</v>
      </c>
      <c r="G62" s="21">
        <f>E62*F62</f>
        <v>55561.809912840166</v>
      </c>
      <c r="H62" s="21">
        <f>EXP(-D62)</f>
        <v>0.49274925948713261</v>
      </c>
      <c r="I62" s="21">
        <f>G62*H62</f>
        <v>27378.040690316815</v>
      </c>
      <c r="J62" s="21">
        <f>Constants!$C$19*I62/$I$40</f>
        <v>1.2801624497960304E-4</v>
      </c>
      <c r="K62" s="5" t="s">
        <v>24</v>
      </c>
    </row>
    <row r="63" spans="1:11" x14ac:dyDescent="0.35">
      <c r="A63" s="15" t="s">
        <v>72</v>
      </c>
      <c r="B63" s="28">
        <v>0.5</v>
      </c>
      <c r="C63" s="19">
        <v>10</v>
      </c>
      <c r="D63" s="14"/>
      <c r="E63" s="14"/>
      <c r="F63" s="14"/>
      <c r="G63" s="14"/>
      <c r="H63" s="14"/>
      <c r="I63" s="14"/>
      <c r="J63" s="14"/>
      <c r="K63" s="15" t="s">
        <v>24</v>
      </c>
    </row>
    <row r="64" spans="1:11" x14ac:dyDescent="0.35">
      <c r="A64" s="5" t="s">
        <v>72</v>
      </c>
      <c r="B64" s="25">
        <v>0.5</v>
      </c>
      <c r="C64" s="23">
        <v>20</v>
      </c>
      <c r="D64" s="24">
        <f>Usec_grid!P64</f>
        <v>2.9846169277976493</v>
      </c>
      <c r="E64" s="21">
        <f>Constants!$C$17/(6*PI()*Constants!$C$13*Usec_grid!C64)</f>
        <v>8.5924400911179831E-13</v>
      </c>
      <c r="F64" s="21">
        <f>Usec_grid!I64^2</f>
        <v>2.1554532947427619E+17</v>
      </c>
      <c r="G64" s="21">
        <f>E64*F64</f>
        <v>185206.03304280055</v>
      </c>
      <c r="H64" s="21">
        <f>EXP(-D64)</f>
        <v>5.0558867536730855E-2</v>
      </c>
      <c r="I64" s="21">
        <f>G64*H64</f>
        <v>9363.8072916143501</v>
      </c>
      <c r="J64" s="21">
        <f>Constants!$C$19*I64/$I$40</f>
        <v>4.3783974965347473E-5</v>
      </c>
      <c r="K64" s="5" t="s">
        <v>92</v>
      </c>
    </row>
    <row r="65" spans="1:11" x14ac:dyDescent="0.35">
      <c r="A65" s="15" t="s">
        <v>72</v>
      </c>
      <c r="B65" s="28">
        <v>0.5</v>
      </c>
      <c r="C65" s="19">
        <v>50</v>
      </c>
      <c r="D65" s="14"/>
      <c r="E65" s="14"/>
      <c r="F65" s="14"/>
      <c r="G65" s="14"/>
      <c r="H65" s="14"/>
      <c r="I65" s="14"/>
      <c r="J65" s="14"/>
      <c r="K65" s="15" t="s">
        <v>92</v>
      </c>
    </row>
    <row r="66" spans="1:11" x14ac:dyDescent="0.35">
      <c r="A66" s="15" t="s">
        <v>72</v>
      </c>
      <c r="B66" s="28">
        <v>0.98</v>
      </c>
      <c r="C66" s="19">
        <v>1</v>
      </c>
      <c r="D66" s="14"/>
      <c r="E66" s="14"/>
      <c r="F66" s="14"/>
      <c r="G66" s="14"/>
      <c r="H66" s="14"/>
      <c r="I66" s="14"/>
      <c r="J66" s="14"/>
      <c r="K66" s="15" t="s">
        <v>24</v>
      </c>
    </row>
    <row r="67" spans="1:11" x14ac:dyDescent="0.35">
      <c r="A67" s="15" t="s">
        <v>72</v>
      </c>
      <c r="B67" s="28">
        <v>0.98</v>
      </c>
      <c r="C67" s="19">
        <v>3</v>
      </c>
      <c r="D67" s="14"/>
      <c r="E67" s="14"/>
      <c r="F67" s="14"/>
      <c r="G67" s="14"/>
      <c r="H67" s="14"/>
      <c r="I67" s="14"/>
      <c r="J67" s="14"/>
      <c r="K67" s="15" t="s">
        <v>24</v>
      </c>
    </row>
    <row r="68" spans="1:11" x14ac:dyDescent="0.35">
      <c r="A68" s="5" t="s">
        <v>72</v>
      </c>
      <c r="B68" s="25">
        <v>0.98</v>
      </c>
      <c r="C68" s="23">
        <v>6</v>
      </c>
      <c r="D68" s="24">
        <f>Usec_grid!P68</f>
        <v>1.387199478103343</v>
      </c>
      <c r="E68" s="21">
        <f>Constants!$C$17/(6*PI()*Constants!$C$13*Usec_grid!C68)</f>
        <v>4.38389800567244E-13</v>
      </c>
      <c r="F68" s="21">
        <f>Usec_grid!I68^2</f>
        <v>6.4663598842282864E+16</v>
      </c>
      <c r="G68" s="21">
        <f>E68*F68</f>
        <v>28347.862200428655</v>
      </c>
      <c r="H68" s="21">
        <f>EXP(-D68)</f>
        <v>0.24977382312784208</v>
      </c>
      <c r="I68" s="21">
        <f>G68*H68</f>
        <v>7080.5539193023069</v>
      </c>
      <c r="J68" s="21">
        <f>Constants!$C$19*I68/$I$40</f>
        <v>3.3107771859119242E-5</v>
      </c>
      <c r="K68" s="5" t="s">
        <v>24</v>
      </c>
    </row>
    <row r="69" spans="1:11" x14ac:dyDescent="0.35">
      <c r="A69" s="15" t="s">
        <v>72</v>
      </c>
      <c r="B69" s="28">
        <v>0.98</v>
      </c>
      <c r="C69" s="19">
        <v>10</v>
      </c>
      <c r="D69" s="14"/>
      <c r="E69" s="14"/>
      <c r="F69" s="14"/>
      <c r="G69" s="14"/>
      <c r="H69" s="14"/>
      <c r="I69" s="14"/>
      <c r="J69" s="14"/>
      <c r="K69" s="15" t="s">
        <v>92</v>
      </c>
    </row>
    <row r="70" spans="1:11" x14ac:dyDescent="0.35">
      <c r="A70" s="5" t="s">
        <v>72</v>
      </c>
      <c r="B70" s="25">
        <v>0.98</v>
      </c>
      <c r="C70" s="23">
        <v>20</v>
      </c>
      <c r="D70" s="24">
        <f>Usec_grid!P70</f>
        <v>5.8498491784833924</v>
      </c>
      <c r="E70" s="21">
        <f>Constants!$C$17/(6*PI()*Constants!$C$13*Usec_grid!C70)</f>
        <v>4.38389800567244E-13</v>
      </c>
      <c r="F70" s="21">
        <f>Usec_grid!I70^2</f>
        <v>2.1554532947427619E+17</v>
      </c>
      <c r="G70" s="21">
        <f>E70*F70</f>
        <v>94492.874001428834</v>
      </c>
      <c r="H70" s="21">
        <f>EXP(-D70)</f>
        <v>2.8803335416033088E-3</v>
      </c>
      <c r="I70" s="21">
        <f>G70*H70</f>
        <v>272.17099442881073</v>
      </c>
      <c r="J70" s="21">
        <f>Constants!$C$19*I70/$I$40</f>
        <v>1.2726370412424724E-6</v>
      </c>
      <c r="K70" s="5" t="s">
        <v>24</v>
      </c>
    </row>
    <row r="71" spans="1:11" x14ac:dyDescent="0.35">
      <c r="A71" s="15" t="s">
        <v>72</v>
      </c>
      <c r="B71" s="28">
        <v>0.98</v>
      </c>
      <c r="C71" s="19">
        <v>50</v>
      </c>
      <c r="D71" s="14"/>
      <c r="E71" s="14"/>
      <c r="F71" s="14"/>
      <c r="G71" s="14"/>
      <c r="H71" s="14"/>
      <c r="I71" s="14"/>
      <c r="J71" s="14"/>
      <c r="K71" s="15" t="s">
        <v>24</v>
      </c>
    </row>
    <row r="72" spans="1:11" x14ac:dyDescent="0.35">
      <c r="A72" s="15" t="s">
        <v>72</v>
      </c>
      <c r="B72" s="28">
        <v>1</v>
      </c>
      <c r="C72" s="19">
        <v>1</v>
      </c>
      <c r="D72" s="14"/>
      <c r="E72" s="14"/>
      <c r="F72" s="14"/>
      <c r="G72" s="14"/>
      <c r="H72" s="14"/>
      <c r="I72" s="14"/>
      <c r="J72" s="14"/>
      <c r="K72" s="15" t="s">
        <v>24</v>
      </c>
    </row>
    <row r="73" spans="1:11" x14ac:dyDescent="0.35">
      <c r="A73" s="15" t="s">
        <v>72</v>
      </c>
      <c r="B73" s="28">
        <v>1</v>
      </c>
      <c r="C73" s="19">
        <v>3</v>
      </c>
      <c r="D73" s="14"/>
      <c r="E73" s="14"/>
      <c r="F73" s="14"/>
      <c r="G73" s="14"/>
      <c r="H73" s="14"/>
      <c r="I73" s="14"/>
      <c r="J73" s="14"/>
      <c r="K73" s="15" t="s">
        <v>24</v>
      </c>
    </row>
    <row r="74" spans="1:11" x14ac:dyDescent="0.35">
      <c r="A74" s="5" t="s">
        <v>72</v>
      </c>
      <c r="B74" s="25">
        <v>1</v>
      </c>
      <c r="C74" s="23">
        <v>6</v>
      </c>
      <c r="D74" s="24">
        <f>Usec_grid!P74</f>
        <v>1.4155096715340236</v>
      </c>
      <c r="E74" s="21">
        <f>Constants!$C$17/(6*PI()*Constants!$C$13*Usec_grid!C74)</f>
        <v>4.2962200455589916E-13</v>
      </c>
      <c r="F74" s="21">
        <f>Usec_grid!I74^2</f>
        <v>6.4663598842282864E+16</v>
      </c>
      <c r="G74" s="21">
        <f>E74*F74</f>
        <v>27780.904956420083</v>
      </c>
      <c r="H74" s="21">
        <f>EXP(-D74)</f>
        <v>0.24280183272511754</v>
      </c>
      <c r="I74" s="21">
        <f>G74*H74</f>
        <v>6745.254638181098</v>
      </c>
      <c r="J74" s="21">
        <f>Constants!$C$19*I74/$I$40</f>
        <v>3.1539954958011381E-5</v>
      </c>
      <c r="K74" s="5" t="s">
        <v>24</v>
      </c>
    </row>
    <row r="75" spans="1:11" x14ac:dyDescent="0.35">
      <c r="A75" s="15" t="s">
        <v>72</v>
      </c>
      <c r="B75" s="28">
        <v>1</v>
      </c>
      <c r="C75" s="19">
        <v>10</v>
      </c>
      <c r="D75" s="14"/>
      <c r="E75" s="14"/>
      <c r="F75" s="14"/>
      <c r="G75" s="14"/>
      <c r="H75" s="14"/>
      <c r="I75" s="14"/>
      <c r="J75" s="14"/>
      <c r="K75" s="15" t="s">
        <v>24</v>
      </c>
    </row>
    <row r="76" spans="1:11" x14ac:dyDescent="0.35">
      <c r="A76" s="5" t="s">
        <v>72</v>
      </c>
      <c r="B76" s="25">
        <v>1</v>
      </c>
      <c r="C76" s="23">
        <v>20</v>
      </c>
      <c r="D76" s="24">
        <f>Usec_grid!P76</f>
        <v>5.9692338555952986</v>
      </c>
      <c r="E76" s="21">
        <f>Constants!$C$17/(6*PI()*Constants!$C$13*Usec_grid!C76)</f>
        <v>4.2962200455589916E-13</v>
      </c>
      <c r="F76" s="21">
        <f>Usec_grid!I76^2</f>
        <v>2.1554532947427619E+17</v>
      </c>
      <c r="G76" s="21">
        <f>E76*F76</f>
        <v>92603.016521400277</v>
      </c>
      <c r="H76" s="21">
        <f>EXP(-D76)</f>
        <v>2.5561990865966976E-3</v>
      </c>
      <c r="I76" s="21">
        <f>G76*H76</f>
        <v>236.71174624810229</v>
      </c>
      <c r="J76" s="21">
        <f>Constants!$C$19*I76/$I$40</f>
        <v>1.1068340952522719E-6</v>
      </c>
      <c r="K76" s="5" t="s">
        <v>24</v>
      </c>
    </row>
    <row r="77" spans="1:11" x14ac:dyDescent="0.35">
      <c r="A77" s="15" t="s">
        <v>72</v>
      </c>
      <c r="B77" s="28">
        <v>1</v>
      </c>
      <c r="C77" s="19">
        <v>50</v>
      </c>
      <c r="D77" s="14"/>
      <c r="E77" s="14"/>
      <c r="F77" s="14"/>
      <c r="G77" s="14"/>
      <c r="H77" s="14"/>
      <c r="I77" s="14"/>
      <c r="J77" s="14"/>
      <c r="K77" s="15" t="s">
        <v>24</v>
      </c>
    </row>
    <row r="78" spans="1:11" x14ac:dyDescent="0.35">
      <c r="A78" s="15" t="s">
        <v>72</v>
      </c>
      <c r="B78" s="28">
        <v>1.1000000000000001</v>
      </c>
      <c r="C78" s="19">
        <v>1</v>
      </c>
      <c r="D78" s="14"/>
      <c r="E78" s="14"/>
      <c r="F78" s="14"/>
      <c r="G78" s="14"/>
      <c r="H78" s="14"/>
      <c r="I78" s="14"/>
      <c r="J78" s="14"/>
      <c r="K78" s="15" t="s">
        <v>92</v>
      </c>
    </row>
    <row r="79" spans="1:11" x14ac:dyDescent="0.35">
      <c r="A79" s="15" t="s">
        <v>72</v>
      </c>
      <c r="B79" s="28">
        <v>1.1000000000000001</v>
      </c>
      <c r="C79" s="19">
        <v>3</v>
      </c>
      <c r="D79" s="14"/>
      <c r="E79" s="14"/>
      <c r="F79" s="14"/>
      <c r="G79" s="14"/>
      <c r="H79" s="14"/>
      <c r="I79" s="14"/>
      <c r="J79" s="14"/>
      <c r="K79" s="15" t="s">
        <v>92</v>
      </c>
    </row>
    <row r="80" spans="1:11" x14ac:dyDescent="0.35">
      <c r="A80" s="5" t="s">
        <v>72</v>
      </c>
      <c r="B80" s="25">
        <v>1.1000000000000001</v>
      </c>
      <c r="C80" s="23">
        <v>6</v>
      </c>
      <c r="D80" s="24">
        <f>Usec_grid!P80</f>
        <v>1.5570606386874262</v>
      </c>
      <c r="E80" s="21">
        <f>Constants!$C$17/(6*PI()*Constants!$C$13*Usec_grid!C80)</f>
        <v>3.9056545868718097E-13</v>
      </c>
      <c r="F80" s="21">
        <f>Usec_grid!I80^2</f>
        <v>6.4663598842282864E+16</v>
      </c>
      <c r="G80" s="21">
        <f>E80*F80</f>
        <v>25255.36814220007</v>
      </c>
      <c r="H80" s="21">
        <f>EXP(-D80)</f>
        <v>0.21075464570043959</v>
      </c>
      <c r="I80" s="21">
        <f>G80*H80</f>
        <v>5322.6861648435452</v>
      </c>
      <c r="J80" s="21">
        <f>Constants!$C$19*I80/$I$40</f>
        <v>2.48882052494411E-5</v>
      </c>
      <c r="K80" s="5" t="s">
        <v>92</v>
      </c>
    </row>
    <row r="81" spans="1:11" x14ac:dyDescent="0.35">
      <c r="A81" s="15" t="s">
        <v>72</v>
      </c>
      <c r="B81" s="28">
        <v>1.1000000000000001</v>
      </c>
      <c r="C81" s="19">
        <v>10</v>
      </c>
      <c r="D81" s="14"/>
      <c r="E81" s="14"/>
      <c r="F81" s="14"/>
      <c r="G81" s="14"/>
      <c r="H81" s="14"/>
      <c r="I81" s="14"/>
      <c r="J81" s="14"/>
      <c r="K81" s="15" t="s">
        <v>24</v>
      </c>
    </row>
    <row r="82" spans="1:11" x14ac:dyDescent="0.35">
      <c r="A82" s="5" t="s">
        <v>72</v>
      </c>
      <c r="B82" s="25">
        <v>1.1000000000000001</v>
      </c>
      <c r="C82" s="23">
        <v>20</v>
      </c>
      <c r="D82" s="24">
        <f>Usec_grid!P82</f>
        <v>6.566157241154829</v>
      </c>
      <c r="E82" s="21">
        <f>Constants!$C$17/(6*PI()*Constants!$C$13*Usec_grid!C82)</f>
        <v>3.9056545868718097E-13</v>
      </c>
      <c r="F82" s="21">
        <f>Usec_grid!I82^2</f>
        <v>2.1554532947427619E+17</v>
      </c>
      <c r="G82" s="21">
        <f>E82*F82</f>
        <v>84184.560474000231</v>
      </c>
      <c r="H82" s="21">
        <f>EXP(-D82)</f>
        <v>1.4071945448394891E-3</v>
      </c>
      <c r="I82" s="21">
        <f>G82*H82</f>
        <v>118.46405425872321</v>
      </c>
      <c r="J82" s="21">
        <f>Constants!$C$19*I82/$I$40</f>
        <v>5.5392288888756868E-7</v>
      </c>
      <c r="K82" s="5" t="s">
        <v>92</v>
      </c>
    </row>
    <row r="83" spans="1:11" x14ac:dyDescent="0.35">
      <c r="A83" s="15" t="s">
        <v>72</v>
      </c>
      <c r="B83" s="28">
        <v>1.1000000000000001</v>
      </c>
      <c r="C83" s="19">
        <v>50</v>
      </c>
      <c r="D83" s="14"/>
      <c r="E83" s="14"/>
      <c r="F83" s="14"/>
      <c r="G83" s="14"/>
      <c r="H83" s="14"/>
      <c r="I83" s="14"/>
      <c r="J83" s="14"/>
      <c r="K83" s="15" t="s">
        <v>24</v>
      </c>
    </row>
    <row r="84" spans="1:11" x14ac:dyDescent="0.35">
      <c r="A84" s="15" t="s">
        <v>72</v>
      </c>
      <c r="B84" s="28">
        <v>2</v>
      </c>
      <c r="C84" s="19">
        <v>1</v>
      </c>
      <c r="D84" s="14"/>
      <c r="E84" s="14"/>
      <c r="F84" s="14"/>
      <c r="G84" s="14"/>
      <c r="H84" s="14"/>
      <c r="I84" s="14"/>
      <c r="J84" s="14"/>
      <c r="K84" s="15" t="s">
        <v>24</v>
      </c>
    </row>
    <row r="85" spans="1:11" x14ac:dyDescent="0.35">
      <c r="A85" s="15" t="s">
        <v>72</v>
      </c>
      <c r="B85" s="28">
        <v>2</v>
      </c>
      <c r="C85" s="19">
        <v>3</v>
      </c>
      <c r="D85" s="14"/>
      <c r="E85" s="14"/>
      <c r="F85" s="14"/>
      <c r="G85" s="14"/>
      <c r="H85" s="14"/>
      <c r="I85" s="14"/>
      <c r="J85" s="14"/>
      <c r="K85" s="15" t="s">
        <v>24</v>
      </c>
    </row>
    <row r="86" spans="1:11" x14ac:dyDescent="0.35">
      <c r="A86" s="5" t="s">
        <v>72</v>
      </c>
      <c r="B86" s="25">
        <v>2</v>
      </c>
      <c r="C86" s="23">
        <v>6</v>
      </c>
      <c r="D86" s="24">
        <f>Usec_grid!P86</f>
        <v>2.8310193430680473</v>
      </c>
      <c r="E86" s="21">
        <f>Constants!$C$17/(6*PI()*Constants!$C$13*Usec_grid!C86)</f>
        <v>2.1481100227794958E-13</v>
      </c>
      <c r="F86" s="21">
        <f>Usec_grid!I86^2</f>
        <v>6.4663598842282864E+16</v>
      </c>
      <c r="G86" s="21">
        <f>E86*F86</f>
        <v>13890.452478210042</v>
      </c>
      <c r="H86" s="21">
        <f>EXP(-D86)</f>
        <v>5.895272997467596E-2</v>
      </c>
      <c r="I86" s="21">
        <f>G86*H86</f>
        <v>818.88009417398507</v>
      </c>
      <c r="J86" s="21">
        <f>Constants!$C$19*I86/$I$40</f>
        <v>3.8289794339364097E-6</v>
      </c>
      <c r="K86" s="5" t="s">
        <v>24</v>
      </c>
    </row>
    <row r="87" spans="1:11" x14ac:dyDescent="0.35">
      <c r="A87" s="15" t="s">
        <v>72</v>
      </c>
      <c r="B87" s="28">
        <v>2</v>
      </c>
      <c r="C87" s="19">
        <v>10</v>
      </c>
      <c r="D87" s="14"/>
      <c r="E87" s="14"/>
      <c r="F87" s="14"/>
      <c r="G87" s="14"/>
      <c r="H87" s="14"/>
      <c r="I87" s="14"/>
      <c r="J87" s="14"/>
      <c r="K87" s="15" t="s">
        <v>24</v>
      </c>
    </row>
    <row r="88" spans="1:11" x14ac:dyDescent="0.35">
      <c r="A88" s="5" t="s">
        <v>72</v>
      </c>
      <c r="B88" s="25">
        <v>2</v>
      </c>
      <c r="C88" s="23">
        <v>20</v>
      </c>
      <c r="D88" s="24">
        <f>Usec_grid!P88</f>
        <v>11.938467711190597</v>
      </c>
      <c r="E88" s="21">
        <f>Constants!$C$17/(6*PI()*Constants!$C$13*Usec_grid!C88)</f>
        <v>2.1481100227794958E-13</v>
      </c>
      <c r="F88" s="21">
        <f>Usec_grid!I88^2</f>
        <v>2.1554532947427619E+17</v>
      </c>
      <c r="G88" s="21">
        <f>E88*F88</f>
        <v>46301.508260700139</v>
      </c>
      <c r="H88" s="21">
        <f>EXP(-D88)</f>
        <v>6.5341537703177897E-6</v>
      </c>
      <c r="I88" s="21">
        <f>G88*H88</f>
        <v>0.30254117477305409</v>
      </c>
      <c r="J88" s="21">
        <f>Constants!$C$19*I88/$I$40</f>
        <v>1.4146441516489693E-9</v>
      </c>
      <c r="K88" s="5" t="s">
        <v>24</v>
      </c>
    </row>
    <row r="89" spans="1:11" x14ac:dyDescent="0.35">
      <c r="A89" s="15" t="s">
        <v>72</v>
      </c>
      <c r="B89" s="28">
        <v>2</v>
      </c>
      <c r="C89" s="19">
        <v>50</v>
      </c>
      <c r="D89" s="14"/>
      <c r="E89" s="14"/>
      <c r="F89" s="14"/>
      <c r="G89" s="14"/>
      <c r="H89" s="14"/>
      <c r="I89" s="14"/>
      <c r="J89" s="14"/>
      <c r="K89" s="15" t="s">
        <v>24</v>
      </c>
    </row>
    <row r="91" spans="1:11" x14ac:dyDescent="0.35">
      <c r="A91" s="2" t="s">
        <v>103</v>
      </c>
    </row>
    <row r="92" spans="1:11" x14ac:dyDescent="0.35">
      <c r="A92" s="2" t="s">
        <v>104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tabSelected="1" zoomScaleNormal="100" workbookViewId="0"/>
  </sheetViews>
  <sheetFormatPr defaultColWidth="8.6328125" defaultRowHeight="14.5" x14ac:dyDescent="0.35"/>
  <cols>
    <col min="1" max="1" width="19.453125" customWidth="1"/>
    <col min="2" max="2" width="108" customWidth="1"/>
  </cols>
  <sheetData>
    <row r="1" spans="1:2" ht="15.5" x14ac:dyDescent="0.35">
      <c r="A1" s="1" t="s">
        <v>105</v>
      </c>
    </row>
    <row r="3" spans="1:2" x14ac:dyDescent="0.35">
      <c r="A3" s="9" t="s">
        <v>106</v>
      </c>
      <c r="B3" s="10" t="s">
        <v>107</v>
      </c>
    </row>
    <row r="4" spans="1:2" x14ac:dyDescent="0.35">
      <c r="A4" s="9" t="s">
        <v>108</v>
      </c>
      <c r="B4" s="10" t="s">
        <v>109</v>
      </c>
    </row>
    <row r="5" spans="1:2" x14ac:dyDescent="0.35">
      <c r="A5" s="9"/>
      <c r="B5" s="10" t="s">
        <v>110</v>
      </c>
    </row>
    <row r="6" spans="1:2" x14ac:dyDescent="0.35">
      <c r="A6" s="9" t="s">
        <v>111</v>
      </c>
      <c r="B6" s="10" t="s">
        <v>112</v>
      </c>
    </row>
    <row r="7" spans="1:2" x14ac:dyDescent="0.35">
      <c r="A7" s="9" t="s">
        <v>113</v>
      </c>
      <c r="B7" s="10" t="s">
        <v>114</v>
      </c>
    </row>
    <row r="8" spans="1:2" x14ac:dyDescent="0.35">
      <c r="A8" s="9"/>
      <c r="B8" s="10" t="s">
        <v>115</v>
      </c>
    </row>
    <row r="9" spans="1:2" x14ac:dyDescent="0.35">
      <c r="A9" s="9" t="s">
        <v>116</v>
      </c>
      <c r="B9" s="10" t="s">
        <v>117</v>
      </c>
    </row>
    <row r="10" spans="1:2" x14ac:dyDescent="0.35">
      <c r="A10" s="9" t="s">
        <v>118</v>
      </c>
      <c r="B10" s="10" t="s">
        <v>119</v>
      </c>
    </row>
    <row r="12" spans="1:2" x14ac:dyDescent="0.35">
      <c r="A12" s="9" t="s">
        <v>120</v>
      </c>
    </row>
    <row r="13" spans="1:2" x14ac:dyDescent="0.35">
      <c r="B13" s="2" t="s">
        <v>121</v>
      </c>
    </row>
    <row r="14" spans="1:2" x14ac:dyDescent="0.35">
      <c r="B14" s="2" t="s">
        <v>122</v>
      </c>
    </row>
    <row r="15" spans="1:2" x14ac:dyDescent="0.35">
      <c r="B15" s="2" t="s">
        <v>123</v>
      </c>
    </row>
    <row r="16" spans="1:2" x14ac:dyDescent="0.35">
      <c r="B16" s="2" t="s">
        <v>124</v>
      </c>
    </row>
    <row r="17" spans="1:2" x14ac:dyDescent="0.35">
      <c r="B17" s="2" t="s">
        <v>125</v>
      </c>
    </row>
    <row r="19" spans="1:2" x14ac:dyDescent="0.35">
      <c r="A19" s="29" t="s">
        <v>126</v>
      </c>
    </row>
    <row r="20" spans="1:2" x14ac:dyDescent="0.35">
      <c r="B20" s="2" t="s">
        <v>127</v>
      </c>
    </row>
    <row r="21" spans="1:2" x14ac:dyDescent="0.35">
      <c r="B21" s="2" t="s">
        <v>128</v>
      </c>
    </row>
    <row r="22" spans="1:2" x14ac:dyDescent="0.35">
      <c r="B22" s="2" t="s">
        <v>129</v>
      </c>
    </row>
    <row r="23" spans="1:2" x14ac:dyDescent="0.35">
      <c r="B23" s="2" t="s">
        <v>130</v>
      </c>
    </row>
    <row r="24" spans="1:2" x14ac:dyDescent="0.35">
      <c r="B24" s="2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Constants</vt:lpstr>
      <vt:lpstr>Zeta_Hamaker</vt:lpstr>
      <vt:lpstr>Usec_grid</vt:lpstr>
      <vt:lpstr>Kramers</vt:lpstr>
      <vt:lpstr>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William Johnson</cp:lastModifiedBy>
  <cp:revision>0</cp:revision>
  <dcterms:created xsi:type="dcterms:W3CDTF">2026-08-27T20:55:05Z</dcterms:created>
  <dcterms:modified xsi:type="dcterms:W3CDTF">2026-09-03T00:40:42Z</dcterms:modified>
  <dc:language>en-US</dc:language>
</cp:coreProperties>
</file>